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fa61b294a249de4/Desktop/Excel/Excel-Project/01 - Fundamental Booster/"/>
    </mc:Choice>
  </mc:AlternateContent>
  <xr:revisionPtr revIDLastSave="2" documentId="8_{D02AA855-F4A5-4508-9E04-590AEEE713BB}" xr6:coauthVersionLast="47" xr6:coauthVersionMax="47" xr10:uidLastSave="{6E274B0D-67CE-4609-9FC9-2500855CFB68}"/>
  <bookViews>
    <workbookView xWindow="-110" yWindow="-110" windowWidth="19420" windowHeight="11020" activeTab="3" xr2:uid="{00000000-000D-0000-FFFF-FFFF00000000}"/>
  </bookViews>
  <sheets>
    <sheet name="Project Instructions" sheetId="1" r:id="rId1"/>
    <sheet name="Students Grade" sheetId="2" r:id="rId2"/>
    <sheet name="Sales Data" sheetId="3" r:id="rId3"/>
    <sheet name="Employee Data"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1" i="4" l="1"/>
  <c r="H21" i="4"/>
  <c r="G21" i="4"/>
  <c r="I20" i="4"/>
  <c r="H20" i="4"/>
  <c r="G20" i="4"/>
  <c r="I19" i="4"/>
  <c r="H19" i="4"/>
  <c r="G19" i="4"/>
  <c r="I18" i="4"/>
  <c r="H18" i="4"/>
  <c r="G18" i="4"/>
  <c r="I17" i="4"/>
  <c r="H17" i="4"/>
  <c r="G17" i="4"/>
  <c r="I16" i="4"/>
  <c r="H16" i="4"/>
  <c r="G16" i="4"/>
  <c r="I15" i="4"/>
  <c r="H15" i="4"/>
  <c r="G15" i="4"/>
  <c r="I14" i="4"/>
  <c r="H14" i="4"/>
  <c r="G14" i="4"/>
  <c r="I13" i="4"/>
  <c r="H13" i="4"/>
  <c r="G13" i="4"/>
  <c r="I12" i="4"/>
  <c r="H12" i="4"/>
  <c r="G12" i="4"/>
  <c r="I11" i="4"/>
  <c r="H11" i="4"/>
  <c r="G11" i="4"/>
  <c r="I10" i="4"/>
  <c r="H10" i="4"/>
  <c r="G10" i="4"/>
  <c r="I9" i="4"/>
  <c r="H9" i="4"/>
  <c r="G9" i="4"/>
  <c r="I8" i="4"/>
  <c r="H8" i="4"/>
  <c r="G8" i="4"/>
  <c r="I7" i="4"/>
  <c r="H7" i="4"/>
  <c r="G7" i="4"/>
  <c r="I6" i="4"/>
  <c r="H6" i="4"/>
  <c r="G6" i="4"/>
  <c r="L5" i="4"/>
  <c r="I5" i="4"/>
  <c r="H5" i="4"/>
  <c r="G5" i="4"/>
  <c r="L4" i="4" a="1"/>
  <c r="L4" i="4" s="1"/>
  <c r="I4" i="4"/>
  <c r="H4" i="4"/>
  <c r="G4" i="4"/>
  <c r="L3" i="4" a="1"/>
  <c r="L3" i="4" s="1"/>
  <c r="I3" i="4"/>
  <c r="H3" i="4"/>
  <c r="G3" i="4"/>
  <c r="I2" i="4"/>
  <c r="H2" i="4"/>
  <c r="G2" i="4"/>
  <c r="K21" i="3"/>
  <c r="J21" i="3"/>
  <c r="I21" i="3"/>
  <c r="H21" i="3"/>
  <c r="G21" i="3"/>
  <c r="K20" i="3"/>
  <c r="J20" i="3"/>
  <c r="I20" i="3"/>
  <c r="H20" i="3"/>
  <c r="G20" i="3"/>
  <c r="K19" i="3"/>
  <c r="J19" i="3"/>
  <c r="I19" i="3"/>
  <c r="H19" i="3"/>
  <c r="G19" i="3"/>
  <c r="K18" i="3"/>
  <c r="J18" i="3"/>
  <c r="I18" i="3"/>
  <c r="H18" i="3"/>
  <c r="G18" i="3"/>
  <c r="K17" i="3"/>
  <c r="J17" i="3"/>
  <c r="I17" i="3"/>
  <c r="H17" i="3"/>
  <c r="G17" i="3"/>
  <c r="K16" i="3"/>
  <c r="J16" i="3"/>
  <c r="I16" i="3"/>
  <c r="H16" i="3"/>
  <c r="G16" i="3"/>
  <c r="K15" i="3"/>
  <c r="J15" i="3"/>
  <c r="I15" i="3"/>
  <c r="H15" i="3"/>
  <c r="G15" i="3"/>
  <c r="K14" i="3"/>
  <c r="J14" i="3"/>
  <c r="I14" i="3"/>
  <c r="H14" i="3"/>
  <c r="G14" i="3"/>
  <c r="K13" i="3"/>
  <c r="J13" i="3"/>
  <c r="I13" i="3"/>
  <c r="H13" i="3"/>
  <c r="G13" i="3"/>
  <c r="K12" i="3"/>
  <c r="J12" i="3"/>
  <c r="I12" i="3"/>
  <c r="H12" i="3"/>
  <c r="G12" i="3"/>
  <c r="K11" i="3"/>
  <c r="J11" i="3"/>
  <c r="I11" i="3"/>
  <c r="H11" i="3"/>
  <c r="G11" i="3"/>
  <c r="K10" i="3"/>
  <c r="J10" i="3"/>
  <c r="I10" i="3"/>
  <c r="H10" i="3"/>
  <c r="G10" i="3"/>
  <c r="N9" i="3"/>
  <c r="K9" i="3"/>
  <c r="J9" i="3"/>
  <c r="I9" i="3"/>
  <c r="H9" i="3"/>
  <c r="G9" i="3"/>
  <c r="N8" i="3" a="1"/>
  <c r="N8" i="3"/>
  <c r="K8" i="3"/>
  <c r="J8" i="3"/>
  <c r="I8" i="3"/>
  <c r="H8" i="3"/>
  <c r="G8" i="3"/>
  <c r="N7" i="3" a="1"/>
  <c r="N7" i="3"/>
  <c r="K7" i="3"/>
  <c r="J7" i="3"/>
  <c r="I7" i="3"/>
  <c r="H7" i="3"/>
  <c r="G7" i="3"/>
  <c r="N6" i="3"/>
  <c r="K6" i="3"/>
  <c r="J6" i="3"/>
  <c r="I6" i="3"/>
  <c r="H6" i="3"/>
  <c r="G6" i="3"/>
  <c r="N5" i="3"/>
  <c r="K5" i="3"/>
  <c r="J5" i="3"/>
  <c r="I5" i="3"/>
  <c r="H5" i="3"/>
  <c r="G5" i="3"/>
  <c r="N4" i="3"/>
  <c r="K4" i="3"/>
  <c r="J4" i="3"/>
  <c r="I4" i="3"/>
  <c r="H4" i="3"/>
  <c r="G4" i="3"/>
  <c r="K3" i="3"/>
  <c r="J3" i="3"/>
  <c r="I3" i="3"/>
  <c r="H3" i="3"/>
  <c r="G3" i="3"/>
  <c r="K2" i="3"/>
  <c r="J2" i="3"/>
  <c r="I2" i="3"/>
  <c r="H2" i="3"/>
  <c r="G2" i="3"/>
  <c r="M21" i="2"/>
  <c r="L21" i="2"/>
  <c r="K21" i="2"/>
  <c r="J21" i="2"/>
  <c r="I21" i="2"/>
  <c r="H21" i="2"/>
  <c r="G21" i="2"/>
  <c r="M20" i="2"/>
  <c r="L20" i="2"/>
  <c r="K20" i="2"/>
  <c r="J20" i="2"/>
  <c r="H20" i="2"/>
  <c r="I20" i="2" s="1"/>
  <c r="G20" i="2"/>
  <c r="M19" i="2"/>
  <c r="L19" i="2"/>
  <c r="K19" i="2"/>
  <c r="J19" i="2"/>
  <c r="I19" i="2"/>
  <c r="H19" i="2"/>
  <c r="G19" i="2"/>
  <c r="M18" i="2"/>
  <c r="L18" i="2"/>
  <c r="K18" i="2"/>
  <c r="J18" i="2"/>
  <c r="H18" i="2"/>
  <c r="I18" i="2" s="1"/>
  <c r="G18" i="2"/>
  <c r="M17" i="2"/>
  <c r="L17" i="2"/>
  <c r="K17" i="2"/>
  <c r="J17" i="2"/>
  <c r="H17" i="2"/>
  <c r="I17" i="2" s="1"/>
  <c r="G17" i="2"/>
  <c r="M16" i="2"/>
  <c r="L16" i="2"/>
  <c r="K16" i="2"/>
  <c r="J16" i="2"/>
  <c r="H16" i="2"/>
  <c r="I16" i="2" s="1"/>
  <c r="G16" i="2"/>
  <c r="M15" i="2"/>
  <c r="L15" i="2"/>
  <c r="K15" i="2"/>
  <c r="J15" i="2"/>
  <c r="H15" i="2"/>
  <c r="I15" i="2" s="1"/>
  <c r="G15" i="2"/>
  <c r="M14" i="2"/>
  <c r="L14" i="2"/>
  <c r="K14" i="2"/>
  <c r="J14" i="2"/>
  <c r="H14" i="2"/>
  <c r="I14" i="2" s="1"/>
  <c r="G14" i="2"/>
  <c r="M13" i="2"/>
  <c r="L13" i="2"/>
  <c r="K13" i="2"/>
  <c r="J13" i="2"/>
  <c r="I13" i="2"/>
  <c r="H13" i="2"/>
  <c r="G13" i="2"/>
  <c r="M12" i="2"/>
  <c r="L12" i="2"/>
  <c r="K12" i="2"/>
  <c r="J12" i="2"/>
  <c r="H12" i="2"/>
  <c r="I12" i="2" s="1"/>
  <c r="G12" i="2"/>
  <c r="M11" i="2"/>
  <c r="L11" i="2"/>
  <c r="K11" i="2"/>
  <c r="J11" i="2"/>
  <c r="I11" i="2"/>
  <c r="H11" i="2"/>
  <c r="G11" i="2"/>
  <c r="M10" i="2"/>
  <c r="L10" i="2"/>
  <c r="K10" i="2"/>
  <c r="J10" i="2"/>
  <c r="H10" i="2"/>
  <c r="I10" i="2" s="1"/>
  <c r="G10" i="2"/>
  <c r="M9" i="2"/>
  <c r="L9" i="2"/>
  <c r="K9" i="2"/>
  <c r="J9" i="2"/>
  <c r="H9" i="2"/>
  <c r="I9" i="2" s="1"/>
  <c r="G9" i="2"/>
  <c r="M8" i="2"/>
  <c r="L8" i="2"/>
  <c r="K8" i="2"/>
  <c r="J8" i="2"/>
  <c r="H8" i="2"/>
  <c r="I8" i="2" s="1"/>
  <c r="G8" i="2"/>
  <c r="M7" i="2"/>
  <c r="L7" i="2"/>
  <c r="K7" i="2"/>
  <c r="J7" i="2"/>
  <c r="H7" i="2"/>
  <c r="I7" i="2" s="1"/>
  <c r="G7" i="2"/>
  <c r="P6" i="2"/>
  <c r="M6" i="2"/>
  <c r="L6" i="2"/>
  <c r="K6" i="2"/>
  <c r="J6" i="2"/>
  <c r="H6" i="2"/>
  <c r="I6" i="2" s="1"/>
  <c r="G6" i="2"/>
  <c r="M5" i="2"/>
  <c r="L5" i="2"/>
  <c r="K5" i="2"/>
  <c r="J5" i="2"/>
  <c r="I5" i="2"/>
  <c r="H5" i="2"/>
  <c r="G5" i="2"/>
  <c r="M4" i="2"/>
  <c r="L4" i="2" a="1"/>
  <c r="L4" i="2"/>
  <c r="K4" i="2"/>
  <c r="J4" i="2"/>
  <c r="H4" i="2"/>
  <c r="I4" i="2" s="1"/>
  <c r="G4" i="2"/>
  <c r="P3" i="2"/>
  <c r="M3" i="2"/>
  <c r="L3" i="2" a="1"/>
  <c r="L3" i="2" s="1"/>
  <c r="K3" i="2"/>
  <c r="J3" i="2"/>
  <c r="H3" i="2"/>
  <c r="P2" i="2" s="1"/>
  <c r="G3" i="2"/>
  <c r="T10" i="2"/>
  <c r="V8" i="2"/>
  <c r="S7" i="2"/>
  <c r="U5" i="2"/>
  <c r="R4" i="2"/>
  <c r="T2" i="2"/>
  <c r="R2" i="2" a="1"/>
  <c r="V11" i="2" s="1"/>
  <c r="M2" i="2"/>
  <c r="L2" i="2"/>
  <c r="K2" i="2"/>
  <c r="J2" i="2"/>
  <c r="H2" i="2"/>
  <c r="I2" i="2" s="1"/>
  <c r="G2" i="2"/>
  <c r="P7" i="2"/>
  <c r="S4" i="2" l="1"/>
  <c r="T7" i="2"/>
  <c r="R9" i="2"/>
  <c r="V2" i="2"/>
  <c r="T4" i="2"/>
  <c r="R6" i="2"/>
  <c r="U7" i="2"/>
  <c r="S9" i="2"/>
  <c r="V10" i="2"/>
  <c r="I3" i="2"/>
  <c r="U2" i="2"/>
  <c r="V5" i="2"/>
  <c r="U10" i="2"/>
  <c r="R3" i="2"/>
  <c r="U4" i="2"/>
  <c r="S6" i="2"/>
  <c r="V7" i="2"/>
  <c r="T9" i="2"/>
  <c r="R11" i="2"/>
  <c r="P4" i="2"/>
  <c r="S3" i="2"/>
  <c r="V4" i="2"/>
  <c r="T6" i="2"/>
  <c r="R8" i="2"/>
  <c r="U9" i="2"/>
  <c r="S11" i="2"/>
  <c r="R2" i="2"/>
  <c r="T3" i="2"/>
  <c r="R5" i="2"/>
  <c r="U6" i="2"/>
  <c r="S8" i="2"/>
  <c r="V9" i="2"/>
  <c r="T11" i="2"/>
  <c r="U3" i="2"/>
  <c r="S5" i="2"/>
  <c r="V6" i="2"/>
  <c r="T8" i="2"/>
  <c r="R10" i="2"/>
  <c r="U11" i="2"/>
  <c r="S2" i="2"/>
  <c r="V3" i="2"/>
  <c r="T5" i="2"/>
  <c r="R7" i="2"/>
  <c r="U8" i="2"/>
  <c r="S10" i="2"/>
</calcChain>
</file>

<file path=xl/sharedStrings.xml><?xml version="1.0" encoding="utf-8"?>
<sst xmlns="http://schemas.openxmlformats.org/spreadsheetml/2006/main" count="223" uniqueCount="167">
  <si>
    <t>PR. 1 Fundamental Booster</t>
  </si>
  <si>
    <t>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</si>
  <si>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</si>
  <si>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</si>
  <si>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</si>
  <si>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</si>
  <si>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</si>
  <si>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</si>
  <si>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</si>
  <si>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</si>
  <si>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</si>
  <si>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</si>
  <si>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</si>
  <si>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</si>
  <si>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</si>
  <si>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</si>
  <si>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</si>
  <si>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</si>
  <si>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</si>
  <si>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</si>
  <si>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</si>
  <si>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</si>
  <si>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</si>
  <si>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</si>
  <si>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</si>
  <si>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</si>
  <si>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</si>
  <si>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</si>
  <si>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</si>
  <si>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</si>
  <si>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</si>
  <si>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</si>
  <si>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</si>
  <si>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</si>
  <si>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</si>
  <si>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</si>
  <si>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</si>
  <si>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</si>
  <si>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</si>
  <si>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</si>
  <si>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</si>
  <si>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</si>
  <si>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</si>
  <si>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</si>
  <si>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</si>
  <si>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</si>
  <si>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</si>
  <si>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Total</t>
  </si>
  <si>
    <t>Average</t>
  </si>
  <si>
    <t>Grade (IF)</t>
  </si>
  <si>
    <t>Math &amp; Sci &gt; 80</t>
  </si>
  <si>
    <t>First Name</t>
  </si>
  <si>
    <t>UPPER Name</t>
  </si>
  <si>
    <t>LOWER Name</t>
  </si>
  <si>
    <t>Task / Function</t>
  </si>
  <si>
    <t>Result</t>
  </si>
  <si>
    <t>Student 1</t>
  </si>
  <si>
    <t>Students Scoring &gt; 60 (COUNTIFS)</t>
  </si>
  <si>
    <t>Student 3</t>
  </si>
  <si>
    <t>Student 2</t>
  </si>
  <si>
    <t>Students &gt; 50 in Math (COUNTIFS)</t>
  </si>
  <si>
    <t>Student 8</t>
  </si>
  <si>
    <t>Average Score &gt; 60 (AVERAGEIFS)</t>
  </si>
  <si>
    <t>Student 10</t>
  </si>
  <si>
    <t>Student 4</t>
  </si>
  <si>
    <t>Lookup Student ID</t>
  </si>
  <si>
    <t>Student 12</t>
  </si>
  <si>
    <t>Student 5</t>
  </si>
  <si>
    <t>Student Name (VLOOKUP)</t>
  </si>
  <si>
    <t>Student 13</t>
  </si>
  <si>
    <t>Student 6</t>
  </si>
  <si>
    <t>Total Math (INDIRECT)</t>
  </si>
  <si>
    <t>Student 14</t>
  </si>
  <si>
    <t>Student 7</t>
  </si>
  <si>
    <t>Student 16</t>
  </si>
  <si>
    <t>Student 18</t>
  </si>
  <si>
    <t>Student 9</t>
  </si>
  <si>
    <t>Student 19</t>
  </si>
  <si>
    <t>Student 20</t>
  </si>
  <si>
    <t>Student 11</t>
  </si>
  <si>
    <t>Student 15</t>
  </si>
  <si>
    <t>Student 17</t>
  </si>
  <si>
    <t>Sales ID</t>
  </si>
  <si>
    <t>Product</t>
  </si>
  <si>
    <t>Region</t>
  </si>
  <si>
    <t>Salesperson</t>
  </si>
  <si>
    <t>Amount</t>
  </si>
  <si>
    <t>Date</t>
  </si>
  <si>
    <t>Discount (IF)</t>
  </si>
  <si>
    <t>Discount Eligible (OR)</t>
  </si>
  <si>
    <t>ROUND</t>
  </si>
  <si>
    <t>CEILING</t>
  </si>
  <si>
    <t>FLOOR</t>
  </si>
  <si>
    <t>Keyboard</t>
  </si>
  <si>
    <t>South</t>
  </si>
  <si>
    <t>Person 1</t>
  </si>
  <si>
    <t>High Discount Rate (Abs Ref)</t>
  </si>
  <si>
    <t>Printer</t>
  </si>
  <si>
    <t>West</t>
  </si>
  <si>
    <t>Person 2</t>
  </si>
  <si>
    <t>Low Discount Rate (Abs Ref)</t>
  </si>
  <si>
    <t>Mouse</t>
  </si>
  <si>
    <t>Person 3</t>
  </si>
  <si>
    <t>Product Price (VLOOKUP ID 2005)</t>
  </si>
  <si>
    <t>East</t>
  </si>
  <si>
    <t>Person 4</t>
  </si>
  <si>
    <t>Total Sales East Keyboard (SUMIFS)</t>
  </si>
  <si>
    <t>North</t>
  </si>
  <si>
    <t>Person 5</t>
  </si>
  <si>
    <t>Sales Value Person 8 (INDEX/MATCH)</t>
  </si>
  <si>
    <t>Person 6</t>
  </si>
  <si>
    <t>Salesperson Performance (XLOOKUP)</t>
  </si>
  <si>
    <t>Person 7</t>
  </si>
  <si>
    <t>Product Position Laptop (XMATCH)</t>
  </si>
  <si>
    <t>Person 8</t>
  </si>
  <si>
    <t>Sales Trend First 5 (OFFSET)</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</si>
  <si>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</si>
  <si>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</si>
  <si>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</si>
  <si>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</si>
  <si>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</si>
  <si>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</si>
  <si>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</si>
  <si>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</si>
  <si>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</si>
  <si>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</si>
  <si>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</si>
  <si>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</si>
  <si>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</si>
  <si>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</si>
  <si>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</si>
  <si>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</si>
  <si>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</si>
  <si>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</si>
  <si>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Date of Birth</t>
  </si>
  <si>
    <t>Age</t>
  </si>
  <si>
    <t>Joining Year</t>
  </si>
  <si>
    <t>Days Since Joining</t>
  </si>
  <si>
    <t>Task / Lookup</t>
  </si>
  <si>
    <t>Employee 1</t>
  </si>
  <si>
    <t>Finance</t>
  </si>
  <si>
    <t>Analysis Date</t>
  </si>
  <si>
    <t>Employee 2</t>
  </si>
  <si>
    <t>Employee 8 Salary (XLOOKUP)</t>
  </si>
  <si>
    <t>Employee 3</t>
  </si>
  <si>
    <t>HR</t>
  </si>
  <si>
    <t>Employee 3016 Salary (XLOOKUP)</t>
  </si>
  <si>
    <t>Employee 4</t>
  </si>
  <si>
    <t>Employee 3010 Dept (INDEX/MATCH)</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</si>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</sst>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STU-&quot;0000"/>
    <numFmt numFmtId="165" formatCode="dd\-mmm\-yyyy"/>
    <numFmt numFmtId="166" formatCode="&quot;SAL-&quot;0000"/>
    <numFmt numFmtId="167" formatCode="\$#,##0.00"/>
    <numFmt numFmtId="168" formatCode="\$#,##0"/>
    <numFmt numFmtId="169" formatCode="&quot;EMP-&quot;0000"/>
  </numFmts>
  <fonts count="6" x14ac:knownFonts="1">
    <font>
      <sz val="11"/>
      <color rgb="FF000000"/>
      <name val="Calibri"/>
      <charset val="1"/>
    </font>
    <font>
      <b/>
      <sz val="14"/>
      <color rgb="FFFFFFFF"/>
      <name val="Calibri"/>
      <family val="2"/>
    </font>
    <font>
      <b/>
      <sz val="11"/>
      <color rgb="FF1F4E78"/>
      <name val="Calibri"/>
      <family val="2"/>
    </font>
    <font>
      <b/>
      <sz val="11"/>
      <color rgb="FF000000"/>
      <name val="Calibri"/>
      <family val="2"/>
    </font>
    <font>
      <i/>
      <sz val="11"/>
      <color rgb="FF1F4E78"/>
      <name val="Calibri"/>
      <family val="2"/>
    </font>
    <font>
      <b/>
      <sz val="12"/>
      <color rgb="FFFFFFFF"/>
      <name val="Calibri"/>
      <family val="2"/>
    </font>
  </fonts>
  <fills count="7">
    <fill>
      <patternFill patternType="none"/>
    </fill>
    <fill>
      <patternFill patternType="gray125"/>
    </fill>
    <fill>
      <patternFill patternType="solid">
        <fgColor rgb="FF1F4E78"/>
        <bgColor rgb="FF2F5597"/>
      </patternFill>
    </fill>
    <fill>
      <patternFill patternType="solid">
        <fgColor rgb="FFF2F6FC"/>
        <bgColor rgb="FFE9EDF4"/>
      </patternFill>
    </fill>
    <fill>
      <patternFill patternType="solid">
        <fgColor rgb="FFE9EDF4"/>
        <bgColor rgb="FFF2F6FC"/>
      </patternFill>
    </fill>
    <fill>
      <patternFill patternType="solid">
        <fgColor rgb="FF2F5597"/>
        <bgColor rgb="FF1F4E78"/>
      </patternFill>
    </fill>
    <fill>
      <patternFill patternType="solid">
        <fgColor rgb="FFE2EFDA"/>
        <bgColor rgb="FFE9EDF4"/>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FBFBF"/>
      </left>
      <right style="thin">
        <color rgb="FFBFBFBF"/>
      </right>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style="thin">
        <color rgb="FFBFBFBF"/>
      </right>
      <top/>
      <bottom style="thin">
        <color rgb="FFBFBFBF"/>
      </bottom>
      <diagonal/>
    </border>
    <border>
      <left style="thin">
        <color rgb="FFBFBFBF"/>
      </left>
      <right style="medium">
        <color indexed="64"/>
      </right>
      <top/>
      <bottom style="thin">
        <color rgb="FFBFBFBF"/>
      </bottom>
      <diagonal/>
    </border>
  </borders>
  <cellStyleXfs count="1">
    <xf numFmtId="0" fontId="0" fillId="0" borderId="0"/>
  </cellStyleXfs>
  <cellXfs count="104">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0" fillId="3" borderId="1" xfId="0" applyFill="1" applyBorder="1" applyAlignment="1">
      <alignment horizontal="left" vertical="top" wrapText="1"/>
    </xf>
    <xf numFmtId="0" fontId="2" fillId="4" borderId="1" xfId="0" applyFont="1" applyFill="1" applyBorder="1" applyAlignment="1">
      <alignment horizontal="left" vertical="center"/>
    </xf>
    <xf numFmtId="0" fontId="0" fillId="0" borderId="1" xfId="0" applyBorder="1" applyAlignment="1">
      <alignment horizontal="left" vertical="center"/>
    </xf>
    <xf numFmtId="0" fontId="0" fillId="0" borderId="2" xfId="0" applyBorder="1" applyAlignment="1">
      <alignment vertical="center"/>
    </xf>
    <xf numFmtId="0" fontId="0" fillId="0" borderId="0" xfId="0" applyAlignment="1">
      <alignment horizontal="center" vertical="center"/>
    </xf>
    <xf numFmtId="0" fontId="3" fillId="6"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3" fillId="3" borderId="1" xfId="0" applyFont="1" applyFill="1" applyBorder="1" applyAlignment="1">
      <alignment horizontal="center" vertical="center"/>
    </xf>
    <xf numFmtId="3" fontId="0" fillId="3" borderId="1" xfId="0" applyNumberFormat="1" applyFill="1" applyBorder="1" applyAlignment="1">
      <alignment horizontal="center" vertical="center"/>
    </xf>
    <xf numFmtId="165" fontId="0" fillId="3" borderId="1" xfId="0" applyNumberFormat="1" applyFill="1" applyBorder="1" applyAlignment="1">
      <alignment horizontal="center" vertical="center"/>
    </xf>
    <xf numFmtId="2" fontId="3" fillId="3"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3" fillId="0" borderId="1" xfId="0" applyFont="1" applyBorder="1" applyAlignment="1">
      <alignment horizontal="center" vertical="center"/>
    </xf>
    <xf numFmtId="3" fontId="0" fillId="0" borderId="1" xfId="0" applyNumberFormat="1" applyBorder="1" applyAlignment="1">
      <alignment horizontal="center" vertical="center"/>
    </xf>
    <xf numFmtId="165" fontId="0" fillId="0" borderId="1" xfId="0" applyNumberFormat="1" applyBorder="1" applyAlignment="1">
      <alignment horizontal="center" vertical="center"/>
    </xf>
    <xf numFmtId="2" fontId="3" fillId="0" borderId="1" xfId="0" applyNumberFormat="1" applyFont="1" applyBorder="1" applyAlignment="1">
      <alignment horizontal="center" vertical="center"/>
    </xf>
    <xf numFmtId="0" fontId="0" fillId="0" borderId="1" xfId="0" applyBorder="1" applyAlignment="1">
      <alignment horizontal="center" vertical="center"/>
    </xf>
    <xf numFmtId="0" fontId="3" fillId="3" borderId="3" xfId="0" applyFont="1" applyFill="1" applyBorder="1" applyAlignment="1">
      <alignment horizontal="center" vertical="center"/>
    </xf>
    <xf numFmtId="3" fontId="0" fillId="3" borderId="3" xfId="0" applyNumberFormat="1" applyFill="1" applyBorder="1" applyAlignment="1">
      <alignment horizontal="center" vertical="center"/>
    </xf>
    <xf numFmtId="165" fontId="0" fillId="3" borderId="3" xfId="0" applyNumberFormat="1" applyFill="1" applyBorder="1" applyAlignment="1">
      <alignment horizontal="center" vertical="center"/>
    </xf>
    <xf numFmtId="0" fontId="3" fillId="6" borderId="3" xfId="0" applyFont="1" applyFill="1" applyBorder="1" applyAlignment="1">
      <alignment horizontal="center" vertical="center"/>
    </xf>
    <xf numFmtId="0" fontId="4" fillId="3" borderId="3" xfId="0" applyFont="1" applyFill="1" applyBorder="1" applyAlignment="1">
      <alignment horizontal="center" vertical="center"/>
    </xf>
    <xf numFmtId="0" fontId="0" fillId="3" borderId="3" xfId="0"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164" fontId="3" fillId="3" borderId="7" xfId="0" applyNumberFormat="1" applyFont="1" applyFill="1" applyBorder="1" applyAlignment="1">
      <alignment horizontal="center" vertical="center"/>
    </xf>
    <xf numFmtId="0" fontId="3" fillId="3" borderId="8" xfId="0" applyFont="1" applyFill="1" applyBorder="1" applyAlignment="1">
      <alignment horizontal="center" vertical="center"/>
    </xf>
    <xf numFmtId="3" fontId="0" fillId="3" borderId="8" xfId="0" applyNumberFormat="1" applyFill="1" applyBorder="1" applyAlignment="1">
      <alignment horizontal="center" vertical="center"/>
    </xf>
    <xf numFmtId="165" fontId="0" fillId="3" borderId="8" xfId="0" applyNumberFormat="1" applyFill="1" applyBorder="1" applyAlignment="1">
      <alignment horizontal="center" vertical="center"/>
    </xf>
    <xf numFmtId="2" fontId="3" fillId="3" borderId="8" xfId="0" applyNumberFormat="1" applyFont="1" applyFill="1" applyBorder="1" applyAlignment="1">
      <alignment horizontal="center" vertical="center"/>
    </xf>
    <xf numFmtId="0" fontId="3" fillId="6" borderId="8" xfId="0" applyFont="1" applyFill="1" applyBorder="1" applyAlignment="1">
      <alignment horizontal="center" vertical="center"/>
    </xf>
    <xf numFmtId="0" fontId="4" fillId="3" borderId="8" xfId="0" applyFont="1"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164" fontId="3" fillId="0" borderId="10" xfId="0" applyNumberFormat="1" applyFont="1" applyBorder="1" applyAlignment="1">
      <alignment horizontal="center" vertical="center"/>
    </xf>
    <xf numFmtId="0" fontId="0" fillId="0" borderId="11" xfId="0" applyBorder="1" applyAlignment="1">
      <alignment horizontal="center" vertical="center"/>
    </xf>
    <xf numFmtId="164" fontId="3" fillId="3" borderId="10" xfId="0" applyNumberFormat="1" applyFont="1" applyFill="1" applyBorder="1" applyAlignment="1">
      <alignment horizontal="center" vertical="center"/>
    </xf>
    <xf numFmtId="0" fontId="0" fillId="3" borderId="11" xfId="0" applyFill="1" applyBorder="1" applyAlignment="1">
      <alignment horizontal="center" vertical="center"/>
    </xf>
    <xf numFmtId="164" fontId="3" fillId="0" borderId="12" xfId="0" applyNumberFormat="1" applyFont="1" applyBorder="1" applyAlignment="1">
      <alignment horizontal="center" vertical="center"/>
    </xf>
    <xf numFmtId="0" fontId="3" fillId="0" borderId="13" xfId="0" applyFont="1" applyBorder="1" applyAlignment="1">
      <alignment horizontal="center" vertical="center"/>
    </xf>
    <xf numFmtId="3" fontId="0" fillId="0" borderId="13" xfId="0" applyNumberFormat="1" applyBorder="1" applyAlignment="1">
      <alignment horizontal="center" vertical="center"/>
    </xf>
    <xf numFmtId="165" fontId="0" fillId="0" borderId="13" xfId="0" applyNumberFormat="1" applyBorder="1" applyAlignment="1">
      <alignment horizontal="center" vertical="center"/>
    </xf>
    <xf numFmtId="2" fontId="3" fillId="0" borderId="13" xfId="0" applyNumberFormat="1" applyFont="1" applyBorder="1" applyAlignment="1">
      <alignment horizontal="center" vertical="center"/>
    </xf>
    <xf numFmtId="0" fontId="3" fillId="6" borderId="13" xfId="0" applyFont="1" applyFill="1" applyBorder="1" applyAlignment="1">
      <alignment horizontal="center" vertical="center"/>
    </xf>
    <xf numFmtId="0" fontId="4" fillId="0" borderId="13"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3" fillId="4" borderId="10" xfId="0" applyFont="1" applyFill="1" applyBorder="1" applyAlignment="1">
      <alignment horizontal="center" vertical="center"/>
    </xf>
    <xf numFmtId="3" fontId="3" fillId="6" borderId="11" xfId="0" applyNumberFormat="1" applyFont="1" applyFill="1" applyBorder="1" applyAlignment="1">
      <alignment horizontal="center" vertical="center"/>
    </xf>
    <xf numFmtId="2" fontId="3" fillId="6" borderId="11" xfId="0" applyNumberFormat="1" applyFont="1" applyFill="1" applyBorder="1" applyAlignment="1">
      <alignment horizontal="center" vertical="center"/>
    </xf>
    <xf numFmtId="164" fontId="3" fillId="6" borderId="11" xfId="0" applyNumberFormat="1" applyFont="1" applyFill="1" applyBorder="1" applyAlignment="1">
      <alignment horizontal="center" vertical="center"/>
    </xf>
    <xf numFmtId="49" fontId="3" fillId="6" borderId="11" xfId="0" applyNumberFormat="1" applyFont="1" applyFill="1" applyBorder="1" applyAlignment="1">
      <alignment horizontal="center" vertical="center"/>
    </xf>
    <xf numFmtId="0" fontId="3" fillId="4" borderId="12" xfId="0" applyFont="1" applyFill="1" applyBorder="1" applyAlignment="1">
      <alignment horizontal="center" vertical="center"/>
    </xf>
    <xf numFmtId="3" fontId="3" fillId="6" borderId="14" xfId="0" applyNumberFormat="1" applyFont="1" applyFill="1" applyBorder="1" applyAlignment="1">
      <alignment horizontal="center" vertical="center"/>
    </xf>
    <xf numFmtId="0" fontId="3" fillId="4" borderId="15" xfId="0" applyFont="1" applyFill="1" applyBorder="1" applyAlignment="1">
      <alignment horizontal="center" vertical="center"/>
    </xf>
    <xf numFmtId="3" fontId="3" fillId="6" borderId="16" xfId="0" applyNumberFormat="1" applyFont="1" applyFill="1" applyBorder="1" applyAlignment="1">
      <alignment horizontal="center" vertical="center"/>
    </xf>
    <xf numFmtId="0" fontId="5" fillId="5" borderId="4" xfId="0" applyFont="1" applyFill="1" applyBorder="1" applyAlignment="1">
      <alignment horizontal="center" vertical="center"/>
    </xf>
    <xf numFmtId="0" fontId="5" fillId="5" borderId="6" xfId="0" applyFont="1" applyFill="1" applyBorder="1" applyAlignment="1">
      <alignment horizontal="center" vertical="center"/>
    </xf>
    <xf numFmtId="3" fontId="0" fillId="3" borderId="11" xfId="0" applyNumberFormat="1" applyFill="1" applyBorder="1" applyAlignment="1">
      <alignment horizontal="center" vertical="center"/>
    </xf>
    <xf numFmtId="3" fontId="0" fillId="0" borderId="11" xfId="0" applyNumberFormat="1" applyBorder="1" applyAlignment="1">
      <alignment horizontal="center" vertical="center"/>
    </xf>
    <xf numFmtId="3" fontId="0" fillId="0" borderId="14" xfId="0" applyNumberFormat="1" applyBorder="1" applyAlignment="1">
      <alignment horizontal="center" vertical="center"/>
    </xf>
    <xf numFmtId="164" fontId="3" fillId="3" borderId="15" xfId="0" applyNumberFormat="1" applyFont="1" applyFill="1" applyBorder="1" applyAlignment="1">
      <alignment horizontal="center" vertical="center"/>
    </xf>
    <xf numFmtId="3" fontId="0" fillId="3" borderId="16" xfId="0" applyNumberFormat="1" applyFill="1" applyBorder="1" applyAlignment="1">
      <alignment horizontal="center" vertical="center"/>
    </xf>
    <xf numFmtId="0" fontId="5" fillId="5" borderId="5" xfId="0" applyFont="1" applyFill="1" applyBorder="1" applyAlignment="1">
      <alignment horizontal="center" vertical="center"/>
    </xf>
    <xf numFmtId="167" fontId="3" fillId="3" borderId="1" xfId="0" applyNumberFormat="1" applyFont="1" applyFill="1" applyBorder="1" applyAlignment="1">
      <alignment horizontal="center" vertical="center"/>
    </xf>
    <xf numFmtId="167" fontId="0" fillId="3" borderId="1" xfId="0" applyNumberFormat="1" applyFill="1" applyBorder="1" applyAlignment="1">
      <alignment horizontal="center" vertical="center"/>
    </xf>
    <xf numFmtId="168" fontId="0" fillId="3" borderId="1" xfId="0" applyNumberFormat="1" applyFill="1" applyBorder="1" applyAlignment="1">
      <alignment horizontal="center" vertical="center"/>
    </xf>
    <xf numFmtId="167" fontId="3" fillId="0" borderId="1" xfId="0" applyNumberFormat="1" applyFont="1" applyBorder="1" applyAlignment="1">
      <alignment horizontal="center" vertical="center"/>
    </xf>
    <xf numFmtId="167" fontId="0" fillId="0" borderId="1" xfId="0" applyNumberFormat="1" applyBorder="1" applyAlignment="1">
      <alignment horizontal="center" vertical="center"/>
    </xf>
    <xf numFmtId="168" fontId="0" fillId="0" borderId="1" xfId="0" applyNumberFormat="1" applyBorder="1" applyAlignment="1">
      <alignment horizontal="center" vertical="center"/>
    </xf>
    <xf numFmtId="167" fontId="3" fillId="3" borderId="3" xfId="0" applyNumberFormat="1" applyFont="1" applyFill="1" applyBorder="1" applyAlignment="1">
      <alignment horizontal="center" vertical="center"/>
    </xf>
    <xf numFmtId="167" fontId="0" fillId="3" borderId="3" xfId="0" applyNumberFormat="1" applyFill="1" applyBorder="1" applyAlignment="1">
      <alignment horizontal="center" vertical="center"/>
    </xf>
    <xf numFmtId="168" fontId="0" fillId="3" borderId="3" xfId="0" applyNumberFormat="1" applyFill="1" applyBorder="1" applyAlignment="1">
      <alignment horizontal="center" vertical="center"/>
    </xf>
    <xf numFmtId="166" fontId="3" fillId="3" borderId="15" xfId="0" applyNumberFormat="1" applyFont="1" applyFill="1" applyBorder="1" applyAlignment="1">
      <alignment horizontal="center" vertical="center"/>
    </xf>
    <xf numFmtId="168" fontId="0" fillId="3" borderId="16" xfId="0" applyNumberFormat="1" applyFill="1" applyBorder="1" applyAlignment="1">
      <alignment horizontal="center" vertical="center"/>
    </xf>
    <xf numFmtId="166" fontId="3" fillId="0" borderId="10" xfId="0" applyNumberFormat="1" applyFont="1" applyBorder="1" applyAlignment="1">
      <alignment horizontal="center" vertical="center"/>
    </xf>
    <xf numFmtId="168" fontId="0" fillId="0" borderId="11" xfId="0" applyNumberFormat="1" applyBorder="1" applyAlignment="1">
      <alignment horizontal="center" vertical="center"/>
    </xf>
    <xf numFmtId="166" fontId="3" fillId="3" borderId="10" xfId="0" applyNumberFormat="1" applyFont="1" applyFill="1" applyBorder="1" applyAlignment="1">
      <alignment horizontal="center" vertical="center"/>
    </xf>
    <xf numFmtId="168" fontId="0" fillId="3" borderId="11" xfId="0" applyNumberFormat="1" applyFill="1" applyBorder="1" applyAlignment="1">
      <alignment horizontal="center" vertical="center"/>
    </xf>
    <xf numFmtId="166" fontId="3" fillId="0" borderId="12" xfId="0" applyNumberFormat="1" applyFont="1" applyBorder="1" applyAlignment="1">
      <alignment horizontal="center" vertical="center"/>
    </xf>
    <xf numFmtId="167" fontId="3" fillId="0" borderId="13" xfId="0" applyNumberFormat="1" applyFont="1" applyBorder="1" applyAlignment="1">
      <alignment horizontal="center" vertical="center"/>
    </xf>
    <xf numFmtId="167" fontId="0" fillId="0" borderId="13" xfId="0" applyNumberFormat="1" applyBorder="1" applyAlignment="1">
      <alignment horizontal="center" vertical="center"/>
    </xf>
    <xf numFmtId="168" fontId="0" fillId="0" borderId="13" xfId="0" applyNumberFormat="1" applyBorder="1" applyAlignment="1">
      <alignment horizontal="center" vertical="center"/>
    </xf>
    <xf numFmtId="168" fontId="0" fillId="0" borderId="14" xfId="0" applyNumberFormat="1" applyBorder="1" applyAlignment="1">
      <alignment horizontal="center" vertical="center"/>
    </xf>
    <xf numFmtId="9" fontId="3" fillId="6" borderId="11" xfId="0" applyNumberFormat="1" applyFont="1" applyFill="1" applyBorder="1" applyAlignment="1">
      <alignment horizontal="center" vertical="center"/>
    </xf>
    <xf numFmtId="167" fontId="3" fillId="6" borderId="11" xfId="0" applyNumberFormat="1" applyFont="1" applyFill="1" applyBorder="1" applyAlignment="1">
      <alignment horizontal="center" vertical="center"/>
    </xf>
    <xf numFmtId="1" fontId="3" fillId="6" borderId="11" xfId="0" applyNumberFormat="1" applyFont="1" applyFill="1" applyBorder="1" applyAlignment="1">
      <alignment horizontal="center" vertical="center"/>
    </xf>
    <xf numFmtId="167" fontId="3" fillId="6" borderId="14" xfId="0" applyNumberFormat="1" applyFont="1" applyFill="1" applyBorder="1" applyAlignment="1">
      <alignment horizontal="center" vertical="center"/>
    </xf>
    <xf numFmtId="9" fontId="3" fillId="6" borderId="16" xfId="0" applyNumberFormat="1" applyFont="1" applyFill="1" applyBorder="1" applyAlignment="1">
      <alignment horizontal="center" vertical="center"/>
    </xf>
    <xf numFmtId="1" fontId="0" fillId="3" borderId="1" xfId="0" applyNumberFormat="1" applyFill="1" applyBorder="1" applyAlignment="1">
      <alignment horizontal="center" vertical="center"/>
    </xf>
    <xf numFmtId="1" fontId="0" fillId="0" borderId="1" xfId="0" applyNumberFormat="1" applyBorder="1" applyAlignment="1">
      <alignment horizontal="center" vertical="center"/>
    </xf>
    <xf numFmtId="1" fontId="0" fillId="3" borderId="3" xfId="0" applyNumberFormat="1" applyFill="1" applyBorder="1" applyAlignment="1">
      <alignment horizontal="center" vertical="center"/>
    </xf>
    <xf numFmtId="169" fontId="3" fillId="3" borderId="15" xfId="0" applyNumberFormat="1" applyFont="1" applyFill="1" applyBorder="1" applyAlignment="1">
      <alignment horizontal="center" vertical="center"/>
    </xf>
    <xf numFmtId="169" fontId="3" fillId="0" borderId="10" xfId="0" applyNumberFormat="1" applyFont="1" applyBorder="1" applyAlignment="1">
      <alignment horizontal="center" vertical="center"/>
    </xf>
    <xf numFmtId="169" fontId="3" fillId="3" borderId="10" xfId="0" applyNumberFormat="1" applyFont="1" applyFill="1" applyBorder="1" applyAlignment="1">
      <alignment horizontal="center" vertical="center"/>
    </xf>
    <xf numFmtId="169" fontId="3" fillId="0" borderId="12" xfId="0" applyNumberFormat="1" applyFont="1" applyBorder="1" applyAlignment="1">
      <alignment horizontal="center" vertical="center"/>
    </xf>
    <xf numFmtId="1" fontId="0" fillId="0" borderId="13" xfId="0" applyNumberFormat="1" applyBorder="1" applyAlignment="1">
      <alignment horizontal="center" vertical="center"/>
    </xf>
    <xf numFmtId="165" fontId="3" fillId="6" borderId="16" xfId="0" applyNumberFormat="1" applyFont="1" applyFill="1" applyBorder="1" applyAlignment="1">
      <alignment horizontal="center" vertical="center"/>
    </xf>
    <xf numFmtId="49" fontId="3" fillId="6" borderId="14"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C"/>
      <rgbColor rgb="FFE9ED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2F5597"/>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7"/>
  <sheetViews>
    <sheetView zoomScaleNormal="100" zoomScalePageLayoutView="60" workbookViewId="0">
      <pane ySplit="1" topLeftCell="A2" activePane="bottomLeft" state="frozen"/>
      <selection pane="bottomLeft" activeCell="H2" sqref="H2"/>
    </sheetView>
  </sheetViews>
  <sheetFormatPr defaultColWidth="14.453125" defaultRowHeight="14.5" x14ac:dyDescent="0.35"/>
  <cols>
    <col min="1" max="1" width="75" customWidth="1"/>
  </cols>
  <sheetData>
    <row r="1" spans="1:26" ht="25.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264.75"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2"/>
      <c r="B3" s="2"/>
      <c r="C3" s="2"/>
      <c r="D3" s="2"/>
      <c r="E3" s="2"/>
      <c r="F3" s="2"/>
      <c r="G3" s="2"/>
      <c r="H3" s="2"/>
      <c r="I3" s="2"/>
      <c r="J3" s="2"/>
      <c r="K3" s="2"/>
      <c r="L3" s="2"/>
      <c r="M3" s="2"/>
      <c r="N3" s="2"/>
      <c r="O3" s="2"/>
      <c r="P3" s="2"/>
      <c r="Q3" s="2"/>
      <c r="R3" s="2"/>
      <c r="S3" s="2"/>
      <c r="T3" s="2"/>
      <c r="U3" s="2"/>
      <c r="V3" s="2"/>
      <c r="W3" s="2"/>
      <c r="X3" s="2"/>
      <c r="Y3" s="2"/>
      <c r="Z3" s="2"/>
    </row>
    <row r="4" spans="1:26" x14ac:dyDescent="0.35">
      <c r="A4" s="2"/>
      <c r="B4" s="2"/>
      <c r="C4" s="2"/>
      <c r="D4" s="2"/>
      <c r="E4" s="2"/>
      <c r="F4" s="2"/>
      <c r="G4" s="2"/>
      <c r="H4" s="2"/>
      <c r="I4" s="2"/>
      <c r="J4" s="2"/>
      <c r="K4" s="2"/>
      <c r="L4" s="2"/>
      <c r="M4" s="2"/>
      <c r="N4" s="2"/>
      <c r="O4" s="2"/>
      <c r="P4" s="2"/>
      <c r="Q4" s="2"/>
      <c r="R4" s="2"/>
      <c r="S4" s="2"/>
      <c r="T4" s="2"/>
      <c r="U4" s="2"/>
      <c r="V4" s="2"/>
      <c r="W4" s="2"/>
      <c r="X4" s="2"/>
      <c r="Y4" s="2"/>
      <c r="Z4" s="2"/>
    </row>
    <row r="5" spans="1:26" ht="25.5" customHeight="1" x14ac:dyDescent="0.35">
      <c r="A5" s="1" t="s">
        <v>2</v>
      </c>
      <c r="B5" s="2"/>
      <c r="C5" s="2"/>
      <c r="D5" s="2"/>
      <c r="E5" s="2"/>
      <c r="F5" s="2"/>
      <c r="G5" s="2"/>
      <c r="H5" s="2"/>
      <c r="I5" s="2"/>
      <c r="J5" s="2"/>
      <c r="K5" s="2"/>
      <c r="L5" s="2"/>
      <c r="M5" s="2"/>
      <c r="N5" s="2"/>
      <c r="O5" s="2"/>
      <c r="P5" s="2"/>
      <c r="Q5" s="2"/>
      <c r="R5" s="2"/>
      <c r="S5" s="2"/>
      <c r="T5" s="2"/>
      <c r="U5" s="2"/>
      <c r="V5" s="2"/>
      <c r="W5" s="2"/>
      <c r="X5" s="2"/>
      <c r="Y5" s="2"/>
      <c r="Z5" s="2"/>
    </row>
    <row r="6" spans="1:26" ht="21.75" customHeight="1" x14ac:dyDescent="0.35">
      <c r="A6" s="4" t="s">
        <v>3</v>
      </c>
      <c r="B6" s="2"/>
      <c r="C6" s="2"/>
      <c r="D6" s="2"/>
      <c r="E6" s="2"/>
      <c r="F6" s="2"/>
      <c r="G6" s="2"/>
      <c r="H6" s="2"/>
      <c r="I6" s="2"/>
      <c r="J6" s="2"/>
      <c r="K6" s="2"/>
      <c r="L6" s="2"/>
      <c r="M6" s="2"/>
      <c r="N6" s="2"/>
      <c r="O6" s="2"/>
      <c r="P6" s="2"/>
      <c r="Q6" s="2"/>
      <c r="R6" s="2"/>
      <c r="S6" s="2"/>
      <c r="T6" s="2"/>
      <c r="U6" s="2"/>
      <c r="V6" s="2"/>
      <c r="W6" s="2"/>
      <c r="X6" s="2"/>
      <c r="Y6" s="2"/>
      <c r="Z6" s="2"/>
    </row>
    <row r="7" spans="1:26" ht="18.75" customHeight="1" x14ac:dyDescent="0.35">
      <c r="A7" s="5" t="s">
        <v>4</v>
      </c>
      <c r="B7" s="2"/>
      <c r="C7" s="2"/>
      <c r="D7" s="2"/>
      <c r="E7" s="2"/>
      <c r="F7" s="2"/>
      <c r="G7" s="2"/>
      <c r="H7" s="2"/>
      <c r="I7" s="2"/>
      <c r="J7" s="2"/>
      <c r="K7" s="2"/>
      <c r="L7" s="2"/>
      <c r="M7" s="2"/>
      <c r="N7" s="2"/>
      <c r="O7" s="2"/>
      <c r="P7" s="2"/>
      <c r="Q7" s="2"/>
      <c r="R7" s="2"/>
      <c r="S7" s="2"/>
      <c r="T7" s="2"/>
      <c r="U7" s="2"/>
      <c r="V7" s="2"/>
      <c r="W7" s="2"/>
      <c r="X7" s="2"/>
      <c r="Y7" s="2"/>
      <c r="Z7" s="2"/>
    </row>
    <row r="8" spans="1:26" ht="18.75" customHeight="1" x14ac:dyDescent="0.35">
      <c r="A8" s="5" t="s">
        <v>5</v>
      </c>
      <c r="B8" s="2"/>
      <c r="C8" s="2"/>
      <c r="D8" s="2"/>
      <c r="E8" s="2"/>
      <c r="F8" s="2"/>
      <c r="G8" s="2"/>
      <c r="H8" s="2"/>
      <c r="I8" s="2"/>
      <c r="J8" s="2"/>
      <c r="K8" s="2"/>
      <c r="L8" s="2"/>
      <c r="M8" s="2"/>
      <c r="N8" s="2"/>
      <c r="O8" s="2"/>
      <c r="P8" s="2"/>
      <c r="Q8" s="2"/>
      <c r="R8" s="2"/>
      <c r="S8" s="2"/>
      <c r="T8" s="2"/>
      <c r="U8" s="2"/>
      <c r="V8" s="2"/>
      <c r="W8" s="2"/>
      <c r="X8" s="2"/>
      <c r="Y8" s="2"/>
      <c r="Z8" s="2"/>
    </row>
    <row r="9" spans="1:26" x14ac:dyDescent="0.35">
      <c r="A9" s="6"/>
      <c r="B9" s="2"/>
      <c r="C9" s="2"/>
      <c r="D9" s="2"/>
      <c r="E9" s="2"/>
      <c r="F9" s="2"/>
      <c r="G9" s="2"/>
      <c r="H9" s="2"/>
      <c r="I9" s="2"/>
      <c r="J9" s="2"/>
      <c r="K9" s="2"/>
      <c r="L9" s="2"/>
      <c r="M9" s="2"/>
      <c r="N9" s="2"/>
      <c r="O9" s="2"/>
      <c r="P9" s="2"/>
      <c r="Q9" s="2"/>
      <c r="R9" s="2"/>
      <c r="S9" s="2"/>
      <c r="T9" s="2"/>
      <c r="U9" s="2"/>
      <c r="V9" s="2"/>
      <c r="W9" s="2"/>
      <c r="X9" s="2"/>
      <c r="Y9" s="2"/>
      <c r="Z9" s="2"/>
    </row>
    <row r="10" spans="1:26" ht="21.75" customHeight="1" x14ac:dyDescent="0.35">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8.75" customHeight="1" x14ac:dyDescent="0.35">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8.75" customHeight="1" x14ac:dyDescent="0.35">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5">
      <c r="A13" s="6"/>
      <c r="B13" s="2"/>
      <c r="C13" s="2"/>
      <c r="D13" s="2"/>
      <c r="E13" s="2"/>
      <c r="F13" s="2"/>
      <c r="G13" s="2"/>
      <c r="H13" s="2"/>
      <c r="I13" s="2"/>
      <c r="J13" s="2"/>
      <c r="K13" s="2"/>
      <c r="L13" s="2"/>
      <c r="M13" s="2"/>
      <c r="N13" s="2"/>
      <c r="O13" s="2"/>
      <c r="P13" s="2"/>
      <c r="Q13" s="2"/>
      <c r="R13" s="2"/>
      <c r="S13" s="2"/>
      <c r="T13" s="2"/>
      <c r="U13" s="2"/>
      <c r="V13" s="2"/>
      <c r="W13" s="2"/>
      <c r="X13" s="2"/>
      <c r="Y13" s="2"/>
      <c r="Z13" s="2"/>
    </row>
    <row r="14" spans="1:26" ht="21.75" customHeight="1" x14ac:dyDescent="0.35">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8.75" customHeight="1" x14ac:dyDescent="0.35">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8.75" customHeight="1" x14ac:dyDescent="0.35">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5">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21.75" customHeight="1" x14ac:dyDescent="0.35">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8.75" customHeight="1" x14ac:dyDescent="0.35">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8.75" customHeight="1" x14ac:dyDescent="0.35">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8.75" customHeight="1" x14ac:dyDescent="0.35">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5">
      <c r="A22" s="6"/>
      <c r="B22" s="2"/>
      <c r="C22" s="2"/>
      <c r="D22" s="2"/>
      <c r="E22" s="2"/>
      <c r="F22" s="2"/>
      <c r="G22" s="2"/>
      <c r="H22" s="2"/>
      <c r="I22" s="2"/>
      <c r="J22" s="2"/>
      <c r="K22" s="2"/>
      <c r="L22" s="2"/>
      <c r="M22" s="2"/>
      <c r="N22" s="2"/>
      <c r="O22" s="2"/>
      <c r="P22" s="2"/>
      <c r="Q22" s="2"/>
      <c r="R22" s="2"/>
      <c r="S22" s="2"/>
      <c r="T22" s="2"/>
      <c r="U22" s="2"/>
      <c r="V22" s="2"/>
      <c r="W22" s="2"/>
      <c r="X22" s="2"/>
      <c r="Y22" s="2"/>
      <c r="Z22" s="2"/>
    </row>
    <row r="23" spans="1:26" ht="21.75" customHeight="1" x14ac:dyDescent="0.35">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8.75" customHeight="1" x14ac:dyDescent="0.35">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8.75" customHeight="1" x14ac:dyDescent="0.35">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5">
      <c r="A26" s="6"/>
      <c r="B26" s="2"/>
      <c r="C26" s="2"/>
      <c r="D26" s="2"/>
      <c r="E26" s="2"/>
      <c r="F26" s="2"/>
      <c r="G26" s="2"/>
      <c r="H26" s="2"/>
      <c r="I26" s="2"/>
      <c r="J26" s="2"/>
      <c r="K26" s="2"/>
      <c r="L26" s="2"/>
      <c r="M26" s="2"/>
      <c r="N26" s="2"/>
      <c r="O26" s="2"/>
      <c r="P26" s="2"/>
      <c r="Q26" s="2"/>
      <c r="R26" s="2"/>
      <c r="S26" s="2"/>
      <c r="T26" s="2"/>
      <c r="U26" s="2"/>
      <c r="V26" s="2"/>
      <c r="W26" s="2"/>
      <c r="X26" s="2"/>
      <c r="Y26" s="2"/>
      <c r="Z26" s="2"/>
    </row>
    <row r="27" spans="1:26" ht="21.75" customHeight="1" x14ac:dyDescent="0.35">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8.75" customHeight="1" x14ac:dyDescent="0.35">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8.75" customHeight="1" x14ac:dyDescent="0.35">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5">
      <c r="A30" s="6"/>
      <c r="B30" s="2"/>
      <c r="C30" s="2"/>
      <c r="D30" s="2"/>
      <c r="E30" s="2"/>
      <c r="F30" s="2"/>
      <c r="G30" s="2"/>
      <c r="H30" s="2"/>
      <c r="I30" s="2"/>
      <c r="J30" s="2"/>
      <c r="K30" s="2"/>
      <c r="L30" s="2"/>
      <c r="M30" s="2"/>
      <c r="N30" s="2"/>
      <c r="O30" s="2"/>
      <c r="P30" s="2"/>
      <c r="Q30" s="2"/>
      <c r="R30" s="2"/>
      <c r="S30" s="2"/>
      <c r="T30" s="2"/>
      <c r="U30" s="2"/>
      <c r="V30" s="2"/>
      <c r="W30" s="2"/>
      <c r="X30" s="2"/>
      <c r="Y30" s="2"/>
      <c r="Z30" s="2"/>
    </row>
    <row r="31" spans="1:26" ht="21.75" customHeight="1" x14ac:dyDescent="0.35">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8.75" customHeight="1" x14ac:dyDescent="0.35">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8.75" customHeight="1" x14ac:dyDescent="0.35">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5">
      <c r="A34" s="6"/>
      <c r="B34" s="2"/>
      <c r="C34" s="2"/>
      <c r="D34" s="2"/>
      <c r="E34" s="2"/>
      <c r="F34" s="2"/>
      <c r="G34" s="2"/>
      <c r="H34" s="2"/>
      <c r="I34" s="2"/>
      <c r="J34" s="2"/>
      <c r="K34" s="2"/>
      <c r="L34" s="2"/>
      <c r="M34" s="2"/>
      <c r="N34" s="2"/>
      <c r="O34" s="2"/>
      <c r="P34" s="2"/>
      <c r="Q34" s="2"/>
      <c r="R34" s="2"/>
      <c r="S34" s="2"/>
      <c r="T34" s="2"/>
      <c r="U34" s="2"/>
      <c r="V34" s="2"/>
      <c r="W34" s="2"/>
      <c r="X34" s="2"/>
      <c r="Y34" s="2"/>
      <c r="Z34" s="2"/>
    </row>
    <row r="35" spans="1:26" ht="21.75" customHeight="1" x14ac:dyDescent="0.35">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8.75" customHeight="1" x14ac:dyDescent="0.35">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8.75" customHeight="1" x14ac:dyDescent="0.35">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5">
      <c r="A38" s="6"/>
      <c r="B38" s="2"/>
      <c r="C38" s="2"/>
      <c r="D38" s="2"/>
      <c r="E38" s="2"/>
      <c r="F38" s="2"/>
      <c r="G38" s="2"/>
      <c r="H38" s="2"/>
      <c r="I38" s="2"/>
      <c r="J38" s="2"/>
      <c r="K38" s="2"/>
      <c r="L38" s="2"/>
      <c r="M38" s="2"/>
      <c r="N38" s="2"/>
      <c r="O38" s="2"/>
      <c r="P38" s="2"/>
      <c r="Q38" s="2"/>
      <c r="R38" s="2"/>
      <c r="S38" s="2"/>
      <c r="T38" s="2"/>
      <c r="U38" s="2"/>
      <c r="V38" s="2"/>
      <c r="W38" s="2"/>
      <c r="X38" s="2"/>
      <c r="Y38" s="2"/>
      <c r="Z38" s="2"/>
    </row>
    <row r="39" spans="1:26" ht="21.75" customHeight="1" x14ac:dyDescent="0.35">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8.75" customHeight="1" x14ac:dyDescent="0.35">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5">
      <c r="A41" s="6"/>
      <c r="B41" s="2"/>
      <c r="C41" s="2"/>
      <c r="D41" s="2"/>
      <c r="E41" s="2"/>
      <c r="F41" s="2"/>
      <c r="G41" s="2"/>
      <c r="H41" s="2"/>
      <c r="I41" s="2"/>
      <c r="J41" s="2"/>
      <c r="K41" s="2"/>
      <c r="L41" s="2"/>
      <c r="M41" s="2"/>
      <c r="N41" s="2"/>
      <c r="O41" s="2"/>
      <c r="P41" s="2"/>
      <c r="Q41" s="2"/>
      <c r="R41" s="2"/>
      <c r="S41" s="2"/>
      <c r="T41" s="2"/>
      <c r="U41" s="2"/>
      <c r="V41" s="2"/>
      <c r="W41" s="2"/>
      <c r="X41" s="2"/>
      <c r="Y41" s="2"/>
      <c r="Z41" s="2"/>
    </row>
    <row r="42" spans="1:26" ht="21.75" customHeight="1" x14ac:dyDescent="0.35">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8.75" customHeight="1" x14ac:dyDescent="0.35">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5">
      <c r="A44" s="6"/>
      <c r="B44" s="2"/>
      <c r="C44" s="2"/>
      <c r="D44" s="2"/>
      <c r="E44" s="2"/>
      <c r="F44" s="2"/>
      <c r="G44" s="2"/>
      <c r="H44" s="2"/>
      <c r="I44" s="2"/>
      <c r="J44" s="2"/>
      <c r="K44" s="2"/>
      <c r="L44" s="2"/>
      <c r="M44" s="2"/>
      <c r="N44" s="2"/>
      <c r="O44" s="2"/>
      <c r="P44" s="2"/>
      <c r="Q44" s="2"/>
      <c r="R44" s="2"/>
      <c r="S44" s="2"/>
      <c r="T44" s="2"/>
      <c r="U44" s="2"/>
      <c r="V44" s="2"/>
      <c r="W44" s="2"/>
      <c r="X44" s="2"/>
      <c r="Y44" s="2"/>
      <c r="Z44" s="2"/>
    </row>
    <row r="45" spans="1:26" ht="21.75" customHeight="1" x14ac:dyDescent="0.35">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8.75" customHeight="1" x14ac:dyDescent="0.35">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5">
      <c r="A47" s="6"/>
      <c r="B47" s="2"/>
      <c r="C47" s="2"/>
      <c r="D47" s="2"/>
      <c r="E47" s="2"/>
      <c r="F47" s="2"/>
      <c r="G47" s="2"/>
      <c r="H47" s="2"/>
      <c r="I47" s="2"/>
      <c r="J47" s="2"/>
      <c r="K47" s="2"/>
      <c r="L47" s="2"/>
      <c r="M47" s="2"/>
      <c r="N47" s="2"/>
      <c r="O47" s="2"/>
      <c r="P47" s="2"/>
      <c r="Q47" s="2"/>
      <c r="R47" s="2"/>
      <c r="S47" s="2"/>
      <c r="T47" s="2"/>
      <c r="U47" s="2"/>
      <c r="V47" s="2"/>
      <c r="W47" s="2"/>
      <c r="X47" s="2"/>
      <c r="Y47" s="2"/>
      <c r="Z47" s="2"/>
    </row>
    <row r="48" spans="1:26" ht="21.75" customHeight="1" x14ac:dyDescent="0.35">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35">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35">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6"/>
      <c r="B51" s="2"/>
      <c r="C51" s="2"/>
      <c r="D51" s="2"/>
      <c r="E51" s="2"/>
      <c r="F51" s="2"/>
      <c r="G51" s="2"/>
      <c r="H51" s="2"/>
      <c r="I51" s="2"/>
      <c r="J51" s="2"/>
      <c r="K51" s="2"/>
      <c r="L51" s="2"/>
      <c r="M51" s="2"/>
      <c r="N51" s="2"/>
      <c r="O51" s="2"/>
      <c r="P51" s="2"/>
      <c r="Q51" s="2"/>
      <c r="R51" s="2"/>
      <c r="S51" s="2"/>
      <c r="T51" s="2"/>
      <c r="U51" s="2"/>
      <c r="V51" s="2"/>
      <c r="W51" s="2"/>
      <c r="X51" s="2"/>
      <c r="Y51" s="2"/>
      <c r="Z51" s="2"/>
    </row>
    <row r="52" spans="1:26" ht="21.75" customHeight="1" x14ac:dyDescent="0.35">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35">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6"/>
      <c r="B54" s="2"/>
      <c r="C54" s="2"/>
      <c r="D54" s="2"/>
      <c r="E54" s="2"/>
      <c r="F54" s="2"/>
      <c r="G54" s="2"/>
      <c r="H54" s="2"/>
      <c r="I54" s="2"/>
      <c r="J54" s="2"/>
      <c r="K54" s="2"/>
      <c r="L54" s="2"/>
      <c r="M54" s="2"/>
      <c r="N54" s="2"/>
      <c r="O54" s="2"/>
      <c r="P54" s="2"/>
      <c r="Q54" s="2"/>
      <c r="R54" s="2"/>
      <c r="S54" s="2"/>
      <c r="T54" s="2"/>
      <c r="U54" s="2"/>
      <c r="V54" s="2"/>
      <c r="W54" s="2"/>
      <c r="X54" s="2"/>
      <c r="Y54" s="2"/>
      <c r="Z54" s="2"/>
    </row>
    <row r="55" spans="1:26" ht="21.75" customHeight="1" x14ac:dyDescent="0.35">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35">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O1" zoomScaleNormal="100" zoomScalePageLayoutView="60" workbookViewId="0">
      <pane ySplit="1" topLeftCell="A2" activePane="bottomLeft" state="frozen"/>
      <selection pane="bottomLeft" activeCell="R2" sqref="R2"/>
    </sheetView>
  </sheetViews>
  <sheetFormatPr defaultColWidth="14.453125" defaultRowHeight="14.5" x14ac:dyDescent="0.35"/>
  <cols>
    <col min="1" max="2" width="14" customWidth="1"/>
    <col min="3" max="5" width="12" customWidth="1"/>
    <col min="6" max="6" width="23" customWidth="1"/>
    <col min="7" max="14" width="17" customWidth="1"/>
    <col min="15" max="15" width="29.7265625" bestFit="1" customWidth="1"/>
    <col min="16" max="26" width="17" customWidth="1"/>
  </cols>
  <sheetData>
    <row r="1" spans="1:26" ht="24.75" customHeight="1" thickBot="1" x14ac:dyDescent="0.4">
      <c r="A1" s="27" t="s">
        <v>41</v>
      </c>
      <c r="B1" s="28" t="s">
        <v>42</v>
      </c>
      <c r="C1" s="28" t="s">
        <v>43</v>
      </c>
      <c r="D1" s="28" t="s">
        <v>44</v>
      </c>
      <c r="E1" s="28" t="s">
        <v>45</v>
      </c>
      <c r="F1" s="28" t="s">
        <v>46</v>
      </c>
      <c r="G1" s="28" t="s">
        <v>47</v>
      </c>
      <c r="H1" s="28" t="s">
        <v>48</v>
      </c>
      <c r="I1" s="28" t="s">
        <v>49</v>
      </c>
      <c r="J1" s="28" t="s">
        <v>50</v>
      </c>
      <c r="K1" s="28" t="s">
        <v>51</v>
      </c>
      <c r="L1" s="28" t="s">
        <v>52</v>
      </c>
      <c r="M1" s="29" t="s">
        <v>53</v>
      </c>
      <c r="N1" s="7"/>
      <c r="O1" s="61" t="s">
        <v>54</v>
      </c>
      <c r="P1" s="62" t="s">
        <v>55</v>
      </c>
      <c r="Q1" s="7"/>
      <c r="R1" s="61" t="s">
        <v>41</v>
      </c>
      <c r="S1" s="68" t="s">
        <v>42</v>
      </c>
      <c r="T1" s="68" t="s">
        <v>43</v>
      </c>
      <c r="U1" s="68" t="s">
        <v>44</v>
      </c>
      <c r="V1" s="62" t="s">
        <v>45</v>
      </c>
      <c r="W1" s="7"/>
      <c r="X1" s="7"/>
      <c r="Y1" s="7"/>
      <c r="Z1" s="7"/>
    </row>
    <row r="2" spans="1:26" ht="19.5" customHeight="1" x14ac:dyDescent="0.35">
      <c r="A2" s="30">
        <v>1001</v>
      </c>
      <c r="B2" s="31" t="s">
        <v>56</v>
      </c>
      <c r="C2" s="32">
        <v>61</v>
      </c>
      <c r="D2" s="32">
        <v>48</v>
      </c>
      <c r="E2" s="32">
        <v>76</v>
      </c>
      <c r="F2" s="33">
        <v>43101</v>
      </c>
      <c r="G2" s="32">
        <f t="shared" ref="G2:G21" si="0">SUM(C2:E2)</f>
        <v>185</v>
      </c>
      <c r="H2" s="34">
        <f t="shared" ref="H2:H21" si="1">AVERAGE(C2:E2)</f>
        <v>61.666666666666664</v>
      </c>
      <c r="I2" s="35" t="str">
        <f t="shared" ref="I2:I21" si="2">IF(H2&gt;=80,"A",IF(H2&gt;=70,"B",IF(H2&gt;=60,"C","D")))</f>
        <v>C</v>
      </c>
      <c r="J2" s="36" t="str">
        <f t="shared" ref="J2:J21" si="3">IF(AND(C2&gt;80,D2&gt;80),"Yes","No")</f>
        <v>No</v>
      </c>
      <c r="K2" s="37" t="str">
        <f t="shared" ref="K2:K21" si="4">LEFT(B2,FIND(" ",B2)-1)</f>
        <v>Student</v>
      </c>
      <c r="L2" s="37" t="str">
        <f>UPPER(B2)</f>
        <v>STUDENT 1</v>
      </c>
      <c r="M2" s="38" t="str">
        <f t="shared" ref="M2:M21" si="5">LOWER(B2)</f>
        <v>student 1</v>
      </c>
      <c r="N2" s="7"/>
      <c r="O2" s="59" t="s">
        <v>57</v>
      </c>
      <c r="P2" s="60">
        <f>COUNTIFS(H2:H21,"&gt;60")</f>
        <v>16</v>
      </c>
      <c r="Q2" s="7"/>
      <c r="R2" s="66">
        <f t="array" ref="R2:V11">_xlfn._xlws.FILTER(A2:E21,C2:C21&gt;80)</f>
        <v>1003</v>
      </c>
      <c r="S2" s="21" t="str">
        <v>Student 3</v>
      </c>
      <c r="T2" s="22">
        <v>97</v>
      </c>
      <c r="U2" s="22">
        <v>60</v>
      </c>
      <c r="V2" s="67">
        <v>51</v>
      </c>
      <c r="W2" s="7"/>
      <c r="X2" s="7"/>
      <c r="Y2" s="7"/>
      <c r="Z2" s="7"/>
    </row>
    <row r="3" spans="1:26" ht="19.5" customHeight="1" x14ac:dyDescent="0.35">
      <c r="A3" s="39">
        <v>1002</v>
      </c>
      <c r="B3" s="16" t="s">
        <v>59</v>
      </c>
      <c r="C3" s="17">
        <v>78</v>
      </c>
      <c r="D3" s="17">
        <v>76</v>
      </c>
      <c r="E3" s="17">
        <v>70</v>
      </c>
      <c r="F3" s="18">
        <v>43281</v>
      </c>
      <c r="G3" s="17">
        <f t="shared" si="0"/>
        <v>224</v>
      </c>
      <c r="H3" s="19">
        <f t="shared" si="1"/>
        <v>74.666666666666671</v>
      </c>
      <c r="I3" s="8" t="str">
        <f t="shared" si="2"/>
        <v>B</v>
      </c>
      <c r="J3" s="10" t="str">
        <f t="shared" si="3"/>
        <v>No</v>
      </c>
      <c r="K3" s="20" t="str">
        <f t="shared" si="4"/>
        <v>Student</v>
      </c>
      <c r="L3" s="20" t="str">
        <f t="array" ref="L3">UPPER(B3)</f>
        <v>STUDENT 2</v>
      </c>
      <c r="M3" s="40" t="str">
        <f t="shared" si="5"/>
        <v>student 2</v>
      </c>
      <c r="N3" s="7"/>
      <c r="O3" s="52" t="s">
        <v>60</v>
      </c>
      <c r="P3" s="53">
        <f>COUNTIFS(C2:C21,"&gt;50")</f>
        <v>19</v>
      </c>
      <c r="Q3" s="7"/>
      <c r="R3" s="39">
        <v>1008</v>
      </c>
      <c r="S3" s="16" t="str">
        <v>Student 8</v>
      </c>
      <c r="T3" s="17">
        <v>94</v>
      </c>
      <c r="U3" s="17">
        <v>67</v>
      </c>
      <c r="V3" s="64">
        <v>64</v>
      </c>
      <c r="W3" s="7"/>
      <c r="X3" s="7"/>
      <c r="Y3" s="7"/>
      <c r="Z3" s="7"/>
    </row>
    <row r="4" spans="1:26" ht="19.5" customHeight="1" x14ac:dyDescent="0.35">
      <c r="A4" s="41">
        <v>1003</v>
      </c>
      <c r="B4" s="11" t="s">
        <v>58</v>
      </c>
      <c r="C4" s="12">
        <v>97</v>
      </c>
      <c r="D4" s="12">
        <v>60</v>
      </c>
      <c r="E4" s="12">
        <v>51</v>
      </c>
      <c r="F4" s="13">
        <v>43461</v>
      </c>
      <c r="G4" s="12">
        <f t="shared" si="0"/>
        <v>208</v>
      </c>
      <c r="H4" s="14">
        <f t="shared" si="1"/>
        <v>69.333333333333329</v>
      </c>
      <c r="I4" s="8" t="str">
        <f t="shared" si="2"/>
        <v>C</v>
      </c>
      <c r="J4" s="9" t="str">
        <f t="shared" si="3"/>
        <v>No</v>
      </c>
      <c r="K4" s="15" t="str">
        <f t="shared" si="4"/>
        <v>Student</v>
      </c>
      <c r="L4" s="15" t="str">
        <f t="array" ref="L4">UPPER(B4)</f>
        <v>STUDENT 3</v>
      </c>
      <c r="M4" s="42" t="str">
        <f t="shared" si="5"/>
        <v>student 3</v>
      </c>
      <c r="N4" s="7"/>
      <c r="O4" s="52" t="s">
        <v>62</v>
      </c>
      <c r="P4" s="54">
        <f>AVERAGEIFS(H2:H21,H2:H21,"&gt;60")</f>
        <v>73.625000000000014</v>
      </c>
      <c r="Q4" s="7"/>
      <c r="R4" s="41">
        <v>1010</v>
      </c>
      <c r="S4" s="11" t="str">
        <v>Student 10</v>
      </c>
      <c r="T4" s="12">
        <v>98</v>
      </c>
      <c r="U4" s="12">
        <v>54</v>
      </c>
      <c r="V4" s="63">
        <v>58</v>
      </c>
      <c r="W4" s="7"/>
      <c r="X4" s="7"/>
      <c r="Y4" s="7"/>
      <c r="Z4" s="7"/>
    </row>
    <row r="5" spans="1:26" ht="19.5" customHeight="1" x14ac:dyDescent="0.35">
      <c r="A5" s="39">
        <v>1004</v>
      </c>
      <c r="B5" s="16" t="s">
        <v>64</v>
      </c>
      <c r="C5" s="17">
        <v>74</v>
      </c>
      <c r="D5" s="17">
        <v>55</v>
      </c>
      <c r="E5" s="17">
        <v>46</v>
      </c>
      <c r="F5" s="18">
        <v>43641</v>
      </c>
      <c r="G5" s="17">
        <f t="shared" si="0"/>
        <v>175</v>
      </c>
      <c r="H5" s="19">
        <f t="shared" si="1"/>
        <v>58.333333333333336</v>
      </c>
      <c r="I5" s="8" t="str">
        <f t="shared" si="2"/>
        <v>D</v>
      </c>
      <c r="J5" s="10" t="str">
        <f t="shared" si="3"/>
        <v>No</v>
      </c>
      <c r="K5" s="20" t="str">
        <f t="shared" si="4"/>
        <v>Student</v>
      </c>
      <c r="L5" s="20" t="str">
        <f t="shared" ref="L5:L21" si="6">UPPER(B5)</f>
        <v>STUDENT 4</v>
      </c>
      <c r="M5" s="40" t="str">
        <f t="shared" si="5"/>
        <v>student 4</v>
      </c>
      <c r="N5" s="7"/>
      <c r="O5" s="52" t="s">
        <v>65</v>
      </c>
      <c r="P5" s="55">
        <v>1005</v>
      </c>
      <c r="Q5" s="7"/>
      <c r="R5" s="39">
        <v>1012</v>
      </c>
      <c r="S5" s="16" t="str">
        <v>Student 12</v>
      </c>
      <c r="T5" s="17">
        <v>85</v>
      </c>
      <c r="U5" s="17">
        <v>89</v>
      </c>
      <c r="V5" s="64">
        <v>79</v>
      </c>
      <c r="W5" s="7"/>
      <c r="X5" s="7"/>
      <c r="Y5" s="7"/>
      <c r="Z5" s="7"/>
    </row>
    <row r="6" spans="1:26" ht="19.5" customHeight="1" x14ac:dyDescent="0.35">
      <c r="A6" s="41">
        <v>1005</v>
      </c>
      <c r="B6" s="11" t="s">
        <v>67</v>
      </c>
      <c r="C6" s="12">
        <v>68</v>
      </c>
      <c r="D6" s="12">
        <v>74</v>
      </c>
      <c r="E6" s="12">
        <v>84</v>
      </c>
      <c r="F6" s="13">
        <v>43821</v>
      </c>
      <c r="G6" s="12">
        <f t="shared" si="0"/>
        <v>226</v>
      </c>
      <c r="H6" s="14">
        <f t="shared" si="1"/>
        <v>75.333333333333329</v>
      </c>
      <c r="I6" s="8" t="str">
        <f t="shared" si="2"/>
        <v>B</v>
      </c>
      <c r="J6" s="9" t="str">
        <f t="shared" si="3"/>
        <v>No</v>
      </c>
      <c r="K6" s="15" t="str">
        <f t="shared" si="4"/>
        <v>Student</v>
      </c>
      <c r="L6" s="15" t="str">
        <f t="shared" si="6"/>
        <v>STUDENT 5</v>
      </c>
      <c r="M6" s="42" t="str">
        <f t="shared" si="5"/>
        <v>student 5</v>
      </c>
      <c r="N6" s="7"/>
      <c r="O6" s="52" t="s">
        <v>68</v>
      </c>
      <c r="P6" s="56" t="str">
        <f>VLOOKUP(P5,$A$2:$B$21,2,FALSE())</f>
        <v>Student 5</v>
      </c>
      <c r="Q6" s="7"/>
      <c r="R6" s="41">
        <v>1013</v>
      </c>
      <c r="S6" s="11" t="str">
        <v>Student 13</v>
      </c>
      <c r="T6" s="12">
        <v>98</v>
      </c>
      <c r="U6" s="12">
        <v>90</v>
      </c>
      <c r="V6" s="63">
        <v>97</v>
      </c>
      <c r="W6" s="7"/>
      <c r="X6" s="7"/>
      <c r="Y6" s="7"/>
      <c r="Z6" s="7"/>
    </row>
    <row r="7" spans="1:26" ht="19.5" customHeight="1" thickBot="1" x14ac:dyDescent="0.4">
      <c r="A7" s="39">
        <v>1006</v>
      </c>
      <c r="B7" s="16" t="s">
        <v>70</v>
      </c>
      <c r="C7" s="17">
        <v>80</v>
      </c>
      <c r="D7" s="17">
        <v>70</v>
      </c>
      <c r="E7" s="17">
        <v>65</v>
      </c>
      <c r="F7" s="18">
        <v>44001</v>
      </c>
      <c r="G7" s="17">
        <f t="shared" si="0"/>
        <v>215</v>
      </c>
      <c r="H7" s="19">
        <f t="shared" si="1"/>
        <v>71.666666666666671</v>
      </c>
      <c r="I7" s="8" t="str">
        <f t="shared" si="2"/>
        <v>B</v>
      </c>
      <c r="J7" s="10" t="str">
        <f t="shared" si="3"/>
        <v>No</v>
      </c>
      <c r="K7" s="20" t="str">
        <f t="shared" si="4"/>
        <v>Student</v>
      </c>
      <c r="L7" s="20" t="str">
        <f t="shared" si="6"/>
        <v>STUDENT 6</v>
      </c>
      <c r="M7" s="40" t="str">
        <f t="shared" si="5"/>
        <v>student 6</v>
      </c>
      <c r="N7" s="7"/>
      <c r="O7" s="57" t="s">
        <v>71</v>
      </c>
      <c r="P7" s="58">
        <f ca="1">SUM(INDIRECT("C2:C21"))</f>
        <v>1604</v>
      </c>
      <c r="Q7" s="7"/>
      <c r="R7" s="39">
        <v>1014</v>
      </c>
      <c r="S7" s="16" t="str">
        <v>Student 14</v>
      </c>
      <c r="T7" s="17">
        <v>93</v>
      </c>
      <c r="U7" s="17">
        <v>40</v>
      </c>
      <c r="V7" s="64">
        <v>44</v>
      </c>
      <c r="W7" s="7"/>
      <c r="X7" s="7"/>
      <c r="Y7" s="7"/>
      <c r="Z7" s="7"/>
    </row>
    <row r="8" spans="1:26" ht="19.5" customHeight="1" x14ac:dyDescent="0.35">
      <c r="A8" s="41">
        <v>1007</v>
      </c>
      <c r="B8" s="11" t="s">
        <v>73</v>
      </c>
      <c r="C8" s="12">
        <v>75</v>
      </c>
      <c r="D8" s="12">
        <v>47</v>
      </c>
      <c r="E8" s="12">
        <v>78</v>
      </c>
      <c r="F8" s="13">
        <v>44181</v>
      </c>
      <c r="G8" s="12">
        <f t="shared" si="0"/>
        <v>200</v>
      </c>
      <c r="H8" s="14">
        <f t="shared" si="1"/>
        <v>66.666666666666671</v>
      </c>
      <c r="I8" s="8" t="str">
        <f t="shared" si="2"/>
        <v>C</v>
      </c>
      <c r="J8" s="9" t="str">
        <f t="shared" si="3"/>
        <v>No</v>
      </c>
      <c r="K8" s="15" t="str">
        <f t="shared" si="4"/>
        <v>Student</v>
      </c>
      <c r="L8" s="15" t="str">
        <f t="shared" si="6"/>
        <v>STUDENT 7</v>
      </c>
      <c r="M8" s="42" t="str">
        <f t="shared" si="5"/>
        <v>student 7</v>
      </c>
      <c r="N8" s="7"/>
      <c r="O8" s="7"/>
      <c r="P8" s="7"/>
      <c r="Q8" s="7"/>
      <c r="R8" s="41">
        <v>1016</v>
      </c>
      <c r="S8" s="11" t="str">
        <v>Student 16</v>
      </c>
      <c r="T8" s="12">
        <v>98</v>
      </c>
      <c r="U8" s="12">
        <v>77</v>
      </c>
      <c r="V8" s="63">
        <v>60</v>
      </c>
      <c r="W8" s="7"/>
      <c r="X8" s="7"/>
      <c r="Y8" s="7"/>
      <c r="Z8" s="7"/>
    </row>
    <row r="9" spans="1:26" ht="19.5" customHeight="1" x14ac:dyDescent="0.35">
      <c r="A9" s="39">
        <v>1008</v>
      </c>
      <c r="B9" s="16" t="s">
        <v>61</v>
      </c>
      <c r="C9" s="17">
        <v>94</v>
      </c>
      <c r="D9" s="17">
        <v>67</v>
      </c>
      <c r="E9" s="17">
        <v>64</v>
      </c>
      <c r="F9" s="18">
        <v>44361</v>
      </c>
      <c r="G9" s="17">
        <f t="shared" si="0"/>
        <v>225</v>
      </c>
      <c r="H9" s="19">
        <f t="shared" si="1"/>
        <v>75</v>
      </c>
      <c r="I9" s="8" t="str">
        <f t="shared" si="2"/>
        <v>B</v>
      </c>
      <c r="J9" s="10" t="str">
        <f t="shared" si="3"/>
        <v>No</v>
      </c>
      <c r="K9" s="20" t="str">
        <f t="shared" si="4"/>
        <v>Student</v>
      </c>
      <c r="L9" s="20" t="str">
        <f t="shared" si="6"/>
        <v>STUDENT 8</v>
      </c>
      <c r="M9" s="40" t="str">
        <f t="shared" si="5"/>
        <v>student 8</v>
      </c>
      <c r="N9" s="7"/>
      <c r="O9" s="7"/>
      <c r="P9" s="7"/>
      <c r="Q9" s="7"/>
      <c r="R9" s="39">
        <v>1018</v>
      </c>
      <c r="S9" s="16" t="str">
        <v>Student 18</v>
      </c>
      <c r="T9" s="17">
        <v>82</v>
      </c>
      <c r="U9" s="17">
        <v>48</v>
      </c>
      <c r="V9" s="64">
        <v>79</v>
      </c>
      <c r="W9" s="7"/>
      <c r="X9" s="7"/>
      <c r="Y9" s="7"/>
      <c r="Z9" s="7"/>
    </row>
    <row r="10" spans="1:26" ht="19.5" customHeight="1" x14ac:dyDescent="0.35">
      <c r="A10" s="41">
        <v>1009</v>
      </c>
      <c r="B10" s="11" t="s">
        <v>76</v>
      </c>
      <c r="C10" s="12">
        <v>41</v>
      </c>
      <c r="D10" s="12">
        <v>75</v>
      </c>
      <c r="E10" s="12">
        <v>56</v>
      </c>
      <c r="F10" s="13">
        <v>44541</v>
      </c>
      <c r="G10" s="12">
        <f t="shared" si="0"/>
        <v>172</v>
      </c>
      <c r="H10" s="14">
        <f t="shared" si="1"/>
        <v>57.333333333333336</v>
      </c>
      <c r="I10" s="8" t="str">
        <f t="shared" si="2"/>
        <v>D</v>
      </c>
      <c r="J10" s="9" t="str">
        <f t="shared" si="3"/>
        <v>No</v>
      </c>
      <c r="K10" s="15" t="str">
        <f t="shared" si="4"/>
        <v>Student</v>
      </c>
      <c r="L10" s="15" t="str">
        <f t="shared" si="6"/>
        <v>STUDENT 9</v>
      </c>
      <c r="M10" s="42" t="str">
        <f t="shared" si="5"/>
        <v>student 9</v>
      </c>
      <c r="N10" s="7"/>
      <c r="O10" s="7"/>
      <c r="P10" s="7"/>
      <c r="Q10" s="7"/>
      <c r="R10" s="41">
        <v>1019</v>
      </c>
      <c r="S10" s="11" t="str">
        <v>Student 19</v>
      </c>
      <c r="T10" s="12">
        <v>90</v>
      </c>
      <c r="U10" s="12">
        <v>78</v>
      </c>
      <c r="V10" s="63">
        <v>60</v>
      </c>
      <c r="W10" s="7"/>
      <c r="X10" s="7"/>
      <c r="Y10" s="7"/>
      <c r="Z10" s="7"/>
    </row>
    <row r="11" spans="1:26" ht="19.5" customHeight="1" thickBot="1" x14ac:dyDescent="0.4">
      <c r="A11" s="39">
        <v>1010</v>
      </c>
      <c r="B11" s="16" t="s">
        <v>63</v>
      </c>
      <c r="C11" s="17">
        <v>98</v>
      </c>
      <c r="D11" s="17">
        <v>54</v>
      </c>
      <c r="E11" s="17">
        <v>58</v>
      </c>
      <c r="F11" s="18">
        <v>44721</v>
      </c>
      <c r="G11" s="17">
        <f t="shared" si="0"/>
        <v>210</v>
      </c>
      <c r="H11" s="19">
        <f t="shared" si="1"/>
        <v>70</v>
      </c>
      <c r="I11" s="8" t="str">
        <f t="shared" si="2"/>
        <v>B</v>
      </c>
      <c r="J11" s="10" t="str">
        <f t="shared" si="3"/>
        <v>No</v>
      </c>
      <c r="K11" s="20" t="str">
        <f t="shared" si="4"/>
        <v>Student</v>
      </c>
      <c r="L11" s="20" t="str">
        <f t="shared" si="6"/>
        <v>STUDENT 10</v>
      </c>
      <c r="M11" s="40" t="str">
        <f t="shared" si="5"/>
        <v>student 10</v>
      </c>
      <c r="N11" s="7"/>
      <c r="O11" s="7"/>
      <c r="P11" s="7"/>
      <c r="Q11" s="7"/>
      <c r="R11" s="43">
        <v>1020</v>
      </c>
      <c r="S11" s="44" t="str">
        <v>Student 20</v>
      </c>
      <c r="T11" s="45">
        <v>83</v>
      </c>
      <c r="U11" s="45">
        <v>92</v>
      </c>
      <c r="V11" s="65">
        <v>55</v>
      </c>
      <c r="W11" s="7"/>
      <c r="X11" s="7"/>
      <c r="Y11" s="7"/>
      <c r="Z11" s="7"/>
    </row>
    <row r="12" spans="1:26" ht="19.5" customHeight="1" x14ac:dyDescent="0.35">
      <c r="A12" s="41">
        <v>1011</v>
      </c>
      <c r="B12" s="11" t="s">
        <v>79</v>
      </c>
      <c r="C12" s="12">
        <v>73</v>
      </c>
      <c r="D12" s="12">
        <v>79</v>
      </c>
      <c r="E12" s="12">
        <v>53</v>
      </c>
      <c r="F12" s="13">
        <v>44901</v>
      </c>
      <c r="G12" s="12">
        <f t="shared" si="0"/>
        <v>205</v>
      </c>
      <c r="H12" s="14">
        <f t="shared" si="1"/>
        <v>68.333333333333329</v>
      </c>
      <c r="I12" s="8" t="str">
        <f t="shared" si="2"/>
        <v>C</v>
      </c>
      <c r="J12" s="9" t="str">
        <f t="shared" si="3"/>
        <v>No</v>
      </c>
      <c r="K12" s="15" t="str">
        <f t="shared" si="4"/>
        <v>Student</v>
      </c>
      <c r="L12" s="15" t="str">
        <f t="shared" si="6"/>
        <v>STUDENT 11</v>
      </c>
      <c r="M12" s="42" t="str">
        <f t="shared" si="5"/>
        <v>student 11</v>
      </c>
      <c r="N12" s="7"/>
      <c r="O12" s="7"/>
      <c r="P12" s="7"/>
      <c r="Q12" s="7"/>
      <c r="R12" s="7"/>
      <c r="S12" s="7"/>
      <c r="T12" s="7"/>
      <c r="U12" s="7"/>
      <c r="V12" s="7"/>
      <c r="W12" s="7"/>
      <c r="X12" s="7"/>
      <c r="Y12" s="7"/>
      <c r="Z12" s="7"/>
    </row>
    <row r="13" spans="1:26" ht="19.5" customHeight="1" x14ac:dyDescent="0.35">
      <c r="A13" s="39">
        <v>1012</v>
      </c>
      <c r="B13" s="16" t="s">
        <v>66</v>
      </c>
      <c r="C13" s="17">
        <v>85</v>
      </c>
      <c r="D13" s="17">
        <v>89</v>
      </c>
      <c r="E13" s="17">
        <v>79</v>
      </c>
      <c r="F13" s="18">
        <v>45081</v>
      </c>
      <c r="G13" s="17">
        <f t="shared" si="0"/>
        <v>253</v>
      </c>
      <c r="H13" s="19">
        <f t="shared" si="1"/>
        <v>84.333333333333329</v>
      </c>
      <c r="I13" s="8" t="str">
        <f t="shared" si="2"/>
        <v>A</v>
      </c>
      <c r="J13" s="10" t="str">
        <f t="shared" si="3"/>
        <v>Yes</v>
      </c>
      <c r="K13" s="20" t="str">
        <f t="shared" si="4"/>
        <v>Student</v>
      </c>
      <c r="L13" s="20" t="str">
        <f t="shared" si="6"/>
        <v>STUDENT 12</v>
      </c>
      <c r="M13" s="40" t="str">
        <f t="shared" si="5"/>
        <v>student 12</v>
      </c>
      <c r="N13" s="7"/>
      <c r="O13" s="7"/>
      <c r="P13" s="7"/>
      <c r="Q13" s="7"/>
      <c r="R13" s="7"/>
      <c r="S13" s="7"/>
      <c r="T13" s="7"/>
      <c r="U13" s="7"/>
      <c r="V13" s="7"/>
      <c r="W13" s="7"/>
      <c r="X13" s="7"/>
      <c r="Y13" s="7"/>
      <c r="Z13" s="7"/>
    </row>
    <row r="14" spans="1:26" ht="19.5" customHeight="1" x14ac:dyDescent="0.35">
      <c r="A14" s="41">
        <v>1013</v>
      </c>
      <c r="B14" s="11" t="s">
        <v>69</v>
      </c>
      <c r="C14" s="12">
        <v>98</v>
      </c>
      <c r="D14" s="12">
        <v>90</v>
      </c>
      <c r="E14" s="12">
        <v>97</v>
      </c>
      <c r="F14" s="13">
        <v>45261</v>
      </c>
      <c r="G14" s="12">
        <f t="shared" si="0"/>
        <v>285</v>
      </c>
      <c r="H14" s="14">
        <f t="shared" si="1"/>
        <v>95</v>
      </c>
      <c r="I14" s="8" t="str">
        <f t="shared" si="2"/>
        <v>A</v>
      </c>
      <c r="J14" s="9" t="str">
        <f t="shared" si="3"/>
        <v>Yes</v>
      </c>
      <c r="K14" s="15" t="str">
        <f t="shared" si="4"/>
        <v>Student</v>
      </c>
      <c r="L14" s="15" t="str">
        <f t="shared" si="6"/>
        <v>STUDENT 13</v>
      </c>
      <c r="M14" s="42" t="str">
        <f t="shared" si="5"/>
        <v>student 13</v>
      </c>
      <c r="N14" s="7"/>
      <c r="O14" s="7"/>
      <c r="P14" s="7"/>
      <c r="Q14" s="7"/>
      <c r="R14" s="7"/>
      <c r="S14" s="7"/>
      <c r="T14" s="7"/>
      <c r="U14" s="7"/>
      <c r="V14" s="7"/>
      <c r="W14" s="7"/>
      <c r="X14" s="7"/>
      <c r="Y14" s="7"/>
      <c r="Z14" s="7"/>
    </row>
    <row r="15" spans="1:26" ht="19.5" customHeight="1" x14ac:dyDescent="0.35">
      <c r="A15" s="39">
        <v>1014</v>
      </c>
      <c r="B15" s="16" t="s">
        <v>72</v>
      </c>
      <c r="C15" s="17">
        <v>93</v>
      </c>
      <c r="D15" s="17">
        <v>40</v>
      </c>
      <c r="E15" s="17">
        <v>44</v>
      </c>
      <c r="F15" s="18">
        <v>45441</v>
      </c>
      <c r="G15" s="17">
        <f t="shared" si="0"/>
        <v>177</v>
      </c>
      <c r="H15" s="19">
        <f t="shared" si="1"/>
        <v>59</v>
      </c>
      <c r="I15" s="8" t="str">
        <f t="shared" si="2"/>
        <v>D</v>
      </c>
      <c r="J15" s="10" t="str">
        <f t="shared" si="3"/>
        <v>No</v>
      </c>
      <c r="K15" s="20" t="str">
        <f t="shared" si="4"/>
        <v>Student</v>
      </c>
      <c r="L15" s="20" t="str">
        <f t="shared" si="6"/>
        <v>STUDENT 14</v>
      </c>
      <c r="M15" s="40" t="str">
        <f t="shared" si="5"/>
        <v>student 14</v>
      </c>
      <c r="N15" s="7"/>
      <c r="O15" s="7"/>
      <c r="P15" s="7"/>
      <c r="Q15" s="7"/>
      <c r="R15" s="7"/>
      <c r="S15" s="7"/>
      <c r="T15" s="7"/>
      <c r="U15" s="7"/>
      <c r="V15" s="7"/>
      <c r="W15" s="7"/>
      <c r="X15" s="7"/>
      <c r="Y15" s="7"/>
      <c r="Z15" s="7"/>
    </row>
    <row r="16" spans="1:26" ht="19.5" customHeight="1" x14ac:dyDescent="0.35">
      <c r="A16" s="41">
        <v>1015</v>
      </c>
      <c r="B16" s="11" t="s">
        <v>80</v>
      </c>
      <c r="C16" s="12">
        <v>70</v>
      </c>
      <c r="D16" s="12">
        <v>51</v>
      </c>
      <c r="E16" s="12">
        <v>75</v>
      </c>
      <c r="F16" s="13">
        <v>45621</v>
      </c>
      <c r="G16" s="12">
        <f t="shared" si="0"/>
        <v>196</v>
      </c>
      <c r="H16" s="14">
        <f t="shared" si="1"/>
        <v>65.333333333333329</v>
      </c>
      <c r="I16" s="8" t="str">
        <f t="shared" si="2"/>
        <v>C</v>
      </c>
      <c r="J16" s="9" t="str">
        <f t="shared" si="3"/>
        <v>No</v>
      </c>
      <c r="K16" s="15" t="str">
        <f t="shared" si="4"/>
        <v>Student</v>
      </c>
      <c r="L16" s="15" t="str">
        <f t="shared" si="6"/>
        <v>STUDENT 15</v>
      </c>
      <c r="M16" s="42" t="str">
        <f t="shared" si="5"/>
        <v>student 15</v>
      </c>
      <c r="N16" s="7"/>
      <c r="O16" s="7"/>
      <c r="P16" s="7"/>
      <c r="Q16" s="7"/>
      <c r="R16" s="7"/>
      <c r="S16" s="7"/>
      <c r="T16" s="7"/>
      <c r="U16" s="7"/>
      <c r="V16" s="7"/>
      <c r="W16" s="7"/>
      <c r="X16" s="7"/>
      <c r="Y16" s="7"/>
      <c r="Z16" s="7"/>
    </row>
    <row r="17" spans="1:26" ht="19.5" customHeight="1" x14ac:dyDescent="0.35">
      <c r="A17" s="39">
        <v>1016</v>
      </c>
      <c r="B17" s="16" t="s">
        <v>74</v>
      </c>
      <c r="C17" s="17">
        <v>98</v>
      </c>
      <c r="D17" s="17">
        <v>77</v>
      </c>
      <c r="E17" s="17">
        <v>60</v>
      </c>
      <c r="F17" s="18">
        <v>45801</v>
      </c>
      <c r="G17" s="17">
        <f t="shared" si="0"/>
        <v>235</v>
      </c>
      <c r="H17" s="19">
        <f t="shared" si="1"/>
        <v>78.333333333333329</v>
      </c>
      <c r="I17" s="8" t="str">
        <f t="shared" si="2"/>
        <v>B</v>
      </c>
      <c r="J17" s="10" t="str">
        <f t="shared" si="3"/>
        <v>No</v>
      </c>
      <c r="K17" s="20" t="str">
        <f t="shared" si="4"/>
        <v>Student</v>
      </c>
      <c r="L17" s="20" t="str">
        <f t="shared" si="6"/>
        <v>STUDENT 16</v>
      </c>
      <c r="M17" s="40" t="str">
        <f t="shared" si="5"/>
        <v>student 16</v>
      </c>
      <c r="N17" s="7"/>
      <c r="O17" s="7"/>
      <c r="P17" s="7"/>
      <c r="Q17" s="7"/>
      <c r="R17" s="7"/>
      <c r="S17" s="7"/>
      <c r="T17" s="7"/>
      <c r="U17" s="7"/>
      <c r="V17" s="7"/>
      <c r="W17" s="7"/>
      <c r="X17" s="7"/>
      <c r="Y17" s="7"/>
      <c r="Z17" s="7"/>
    </row>
    <row r="18" spans="1:26" ht="19.5" customHeight="1" x14ac:dyDescent="0.35">
      <c r="A18" s="41">
        <v>1017</v>
      </c>
      <c r="B18" s="11" t="s">
        <v>81</v>
      </c>
      <c r="C18" s="12">
        <v>66</v>
      </c>
      <c r="D18" s="12">
        <v>59</v>
      </c>
      <c r="E18" s="12">
        <v>40</v>
      </c>
      <c r="F18" s="13">
        <v>45981</v>
      </c>
      <c r="G18" s="12">
        <f t="shared" si="0"/>
        <v>165</v>
      </c>
      <c r="H18" s="14">
        <f t="shared" si="1"/>
        <v>55</v>
      </c>
      <c r="I18" s="8" t="str">
        <f t="shared" si="2"/>
        <v>D</v>
      </c>
      <c r="J18" s="9" t="str">
        <f t="shared" si="3"/>
        <v>No</v>
      </c>
      <c r="K18" s="15" t="str">
        <f t="shared" si="4"/>
        <v>Student</v>
      </c>
      <c r="L18" s="15" t="str">
        <f t="shared" si="6"/>
        <v>STUDENT 17</v>
      </c>
      <c r="M18" s="42" t="str">
        <f t="shared" si="5"/>
        <v>student 17</v>
      </c>
      <c r="N18" s="7"/>
      <c r="O18" s="7"/>
      <c r="P18" s="7"/>
      <c r="Q18" s="7"/>
      <c r="R18" s="7"/>
      <c r="S18" s="7"/>
      <c r="T18" s="7"/>
      <c r="U18" s="7"/>
      <c r="V18" s="7"/>
      <c r="W18" s="7"/>
      <c r="X18" s="7"/>
      <c r="Y18" s="7"/>
      <c r="Z18" s="7"/>
    </row>
    <row r="19" spans="1:26" ht="19.5" customHeight="1" x14ac:dyDescent="0.35">
      <c r="A19" s="39">
        <v>1018</v>
      </c>
      <c r="B19" s="16" t="s">
        <v>75</v>
      </c>
      <c r="C19" s="17">
        <v>82</v>
      </c>
      <c r="D19" s="17">
        <v>48</v>
      </c>
      <c r="E19" s="17">
        <v>79</v>
      </c>
      <c r="F19" s="18">
        <v>46161</v>
      </c>
      <c r="G19" s="17">
        <f t="shared" si="0"/>
        <v>209</v>
      </c>
      <c r="H19" s="19">
        <f t="shared" si="1"/>
        <v>69.666666666666671</v>
      </c>
      <c r="I19" s="8" t="str">
        <f t="shared" si="2"/>
        <v>C</v>
      </c>
      <c r="J19" s="10" t="str">
        <f t="shared" si="3"/>
        <v>No</v>
      </c>
      <c r="K19" s="20" t="str">
        <f t="shared" si="4"/>
        <v>Student</v>
      </c>
      <c r="L19" s="20" t="str">
        <f t="shared" si="6"/>
        <v>STUDENT 18</v>
      </c>
      <c r="M19" s="40" t="str">
        <f t="shared" si="5"/>
        <v>student 18</v>
      </c>
      <c r="N19" s="7"/>
      <c r="O19" s="7"/>
      <c r="P19" s="7"/>
      <c r="Q19" s="7"/>
      <c r="R19" s="7"/>
      <c r="S19" s="7"/>
      <c r="T19" s="7"/>
      <c r="U19" s="7"/>
      <c r="V19" s="7"/>
      <c r="W19" s="7"/>
      <c r="X19" s="7"/>
      <c r="Y19" s="7"/>
      <c r="Z19" s="7"/>
    </row>
    <row r="20" spans="1:26" ht="19.5" customHeight="1" x14ac:dyDescent="0.35">
      <c r="A20" s="41">
        <v>1019</v>
      </c>
      <c r="B20" s="11" t="s">
        <v>77</v>
      </c>
      <c r="C20" s="12">
        <v>90</v>
      </c>
      <c r="D20" s="12">
        <v>78</v>
      </c>
      <c r="E20" s="12">
        <v>60</v>
      </c>
      <c r="F20" s="13">
        <v>46341</v>
      </c>
      <c r="G20" s="12">
        <f t="shared" si="0"/>
        <v>228</v>
      </c>
      <c r="H20" s="14">
        <f t="shared" si="1"/>
        <v>76</v>
      </c>
      <c r="I20" s="8" t="str">
        <f t="shared" si="2"/>
        <v>B</v>
      </c>
      <c r="J20" s="9" t="str">
        <f t="shared" si="3"/>
        <v>No</v>
      </c>
      <c r="K20" s="15" t="str">
        <f t="shared" si="4"/>
        <v>Student</v>
      </c>
      <c r="L20" s="15" t="str">
        <f t="shared" si="6"/>
        <v>STUDENT 19</v>
      </c>
      <c r="M20" s="42" t="str">
        <f t="shared" si="5"/>
        <v>student 19</v>
      </c>
      <c r="N20" s="7"/>
      <c r="O20" s="7"/>
      <c r="P20" s="7"/>
      <c r="Q20" s="7"/>
      <c r="R20" s="7"/>
      <c r="S20" s="7"/>
      <c r="T20" s="7"/>
      <c r="U20" s="7"/>
      <c r="V20" s="7"/>
      <c r="W20" s="7"/>
      <c r="X20" s="7"/>
      <c r="Y20" s="7"/>
      <c r="Z20" s="7"/>
    </row>
    <row r="21" spans="1:26" ht="19.5" customHeight="1" thickBot="1" x14ac:dyDescent="0.4">
      <c r="A21" s="43">
        <v>1020</v>
      </c>
      <c r="B21" s="44" t="s">
        <v>78</v>
      </c>
      <c r="C21" s="45">
        <v>83</v>
      </c>
      <c r="D21" s="45">
        <v>92</v>
      </c>
      <c r="E21" s="45">
        <v>55</v>
      </c>
      <c r="F21" s="46">
        <v>46521</v>
      </c>
      <c r="G21" s="45">
        <f t="shared" si="0"/>
        <v>230</v>
      </c>
      <c r="H21" s="47">
        <f t="shared" si="1"/>
        <v>76.666666666666671</v>
      </c>
      <c r="I21" s="48" t="str">
        <f t="shared" si="2"/>
        <v>B</v>
      </c>
      <c r="J21" s="49" t="str">
        <f t="shared" si="3"/>
        <v>Yes</v>
      </c>
      <c r="K21" s="50" t="str">
        <f t="shared" si="4"/>
        <v>Student</v>
      </c>
      <c r="L21" s="50" t="str">
        <f t="shared" si="6"/>
        <v>STUDENT 20</v>
      </c>
      <c r="M21" s="51" t="str">
        <f t="shared" si="5"/>
        <v>student 20</v>
      </c>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zoomScalePageLayoutView="60" workbookViewId="0">
      <pane ySplit="1" topLeftCell="A2" activePane="bottomLeft" state="frozen"/>
      <selection activeCell="G1" sqref="G1"/>
      <selection pane="bottomLeft" activeCell="J2" sqref="J2"/>
    </sheetView>
  </sheetViews>
  <sheetFormatPr defaultColWidth="14.453125" defaultRowHeight="14.5" x14ac:dyDescent="0.35"/>
  <cols>
    <col min="1" max="3" width="12" customWidth="1"/>
    <col min="4" max="4" width="15" customWidth="1"/>
    <col min="5" max="5" width="12" customWidth="1"/>
    <col min="6" max="6" width="23" customWidth="1"/>
    <col min="7" max="7" width="17" customWidth="1"/>
    <col min="8" max="8" width="20.453125" bestFit="1" customWidth="1"/>
    <col min="9" max="12" width="17" customWidth="1"/>
    <col min="13" max="13" width="32.36328125" bestFit="1" customWidth="1"/>
    <col min="14" max="26" width="17" customWidth="1"/>
  </cols>
  <sheetData>
    <row r="1" spans="1:26" ht="24.75" customHeight="1" thickBot="1" x14ac:dyDescent="0.4">
      <c r="A1" s="27" t="s">
        <v>82</v>
      </c>
      <c r="B1" s="28" t="s">
        <v>83</v>
      </c>
      <c r="C1" s="28" t="s">
        <v>84</v>
      </c>
      <c r="D1" s="28" t="s">
        <v>85</v>
      </c>
      <c r="E1" s="28" t="s">
        <v>86</v>
      </c>
      <c r="F1" s="28" t="s">
        <v>87</v>
      </c>
      <c r="G1" s="28" t="s">
        <v>88</v>
      </c>
      <c r="H1" s="28" t="s">
        <v>89</v>
      </c>
      <c r="I1" s="28" t="s">
        <v>90</v>
      </c>
      <c r="J1" s="28" t="s">
        <v>91</v>
      </c>
      <c r="K1" s="29" t="s">
        <v>92</v>
      </c>
      <c r="L1" s="7"/>
      <c r="M1" s="61" t="s">
        <v>54</v>
      </c>
      <c r="N1" s="62" t="s">
        <v>55</v>
      </c>
      <c r="O1" s="7"/>
      <c r="P1" s="7"/>
      <c r="Q1" s="7"/>
      <c r="R1" s="7"/>
      <c r="S1" s="7"/>
      <c r="T1" s="7"/>
      <c r="U1" s="7"/>
      <c r="V1" s="7"/>
      <c r="W1" s="7"/>
      <c r="X1" s="7"/>
      <c r="Y1" s="7"/>
      <c r="Z1" s="7"/>
    </row>
    <row r="2" spans="1:26" ht="19.5" customHeight="1" x14ac:dyDescent="0.35">
      <c r="A2" s="78">
        <v>2001</v>
      </c>
      <c r="B2" s="26" t="s">
        <v>93</v>
      </c>
      <c r="C2" s="26" t="s">
        <v>94</v>
      </c>
      <c r="D2" s="25" t="s">
        <v>95</v>
      </c>
      <c r="E2" s="75">
        <v>7048</v>
      </c>
      <c r="F2" s="23">
        <v>44927</v>
      </c>
      <c r="G2" s="76">
        <f t="shared" ref="G2:G21" si="0">IF(E2&gt;=30000,E2*$N$2,IF(E2&gt;=15000,E2*$N$3,0))</f>
        <v>0</v>
      </c>
      <c r="H2" s="24" t="str">
        <f t="shared" ref="H2:H21" si="1">IF(OR(E2&gt;=20000,B2="Laptop"),"Yes","No")</f>
        <v>No</v>
      </c>
      <c r="I2" s="77">
        <f t="shared" ref="I2:I21" si="2">ROUND(E2,-2)</f>
        <v>7000</v>
      </c>
      <c r="J2" s="77">
        <f t="shared" ref="J2:J21" si="3">CEILING(E2,100)</f>
        <v>7100</v>
      </c>
      <c r="K2" s="79">
        <f t="shared" ref="K2:K21" si="4">FLOOR(E2,100)</f>
        <v>7000</v>
      </c>
      <c r="L2" s="7"/>
      <c r="M2" s="59" t="s">
        <v>96</v>
      </c>
      <c r="N2" s="93">
        <v>0.1</v>
      </c>
      <c r="O2" s="7"/>
      <c r="P2" s="7"/>
      <c r="Q2" s="7"/>
      <c r="R2" s="7"/>
      <c r="S2" s="7"/>
      <c r="T2" s="7"/>
      <c r="U2" s="7"/>
      <c r="V2" s="7"/>
      <c r="W2" s="7"/>
      <c r="X2" s="7"/>
      <c r="Y2" s="7"/>
      <c r="Z2" s="7"/>
    </row>
    <row r="3" spans="1:26" ht="19.5" customHeight="1" x14ac:dyDescent="0.35">
      <c r="A3" s="80">
        <v>2002</v>
      </c>
      <c r="B3" s="20" t="s">
        <v>97</v>
      </c>
      <c r="C3" s="20" t="s">
        <v>98</v>
      </c>
      <c r="D3" s="10" t="s">
        <v>99</v>
      </c>
      <c r="E3" s="72">
        <v>17428</v>
      </c>
      <c r="F3" s="18">
        <v>44942</v>
      </c>
      <c r="G3" s="73">
        <f t="shared" si="0"/>
        <v>871.40000000000009</v>
      </c>
      <c r="H3" s="8" t="str">
        <f t="shared" si="1"/>
        <v>No</v>
      </c>
      <c r="I3" s="74">
        <f t="shared" si="2"/>
        <v>17400</v>
      </c>
      <c r="J3" s="74">
        <f t="shared" si="3"/>
        <v>17500</v>
      </c>
      <c r="K3" s="81">
        <f t="shared" si="4"/>
        <v>17400</v>
      </c>
      <c r="L3" s="7"/>
      <c r="M3" s="52" t="s">
        <v>100</v>
      </c>
      <c r="N3" s="89">
        <v>0.05</v>
      </c>
      <c r="O3" s="7"/>
      <c r="P3" s="7"/>
      <c r="Q3" s="7"/>
      <c r="R3" s="7"/>
      <c r="S3" s="7"/>
      <c r="T3" s="7"/>
      <c r="U3" s="7"/>
      <c r="V3" s="7"/>
      <c r="W3" s="7"/>
      <c r="X3" s="7"/>
      <c r="Y3" s="7"/>
      <c r="Z3" s="7"/>
    </row>
    <row r="4" spans="1:26" ht="19.5" customHeight="1" x14ac:dyDescent="0.35">
      <c r="A4" s="82">
        <v>2003</v>
      </c>
      <c r="B4" s="15" t="s">
        <v>101</v>
      </c>
      <c r="C4" s="15" t="s">
        <v>94</v>
      </c>
      <c r="D4" s="9" t="s">
        <v>102</v>
      </c>
      <c r="E4" s="69">
        <v>23672</v>
      </c>
      <c r="F4" s="13">
        <v>44957</v>
      </c>
      <c r="G4" s="70">
        <f t="shared" si="0"/>
        <v>1183.6000000000001</v>
      </c>
      <c r="H4" s="8" t="str">
        <f t="shared" si="1"/>
        <v>Yes</v>
      </c>
      <c r="I4" s="71">
        <f t="shared" si="2"/>
        <v>23700</v>
      </c>
      <c r="J4" s="71">
        <f t="shared" si="3"/>
        <v>23700</v>
      </c>
      <c r="K4" s="83">
        <f t="shared" si="4"/>
        <v>23600</v>
      </c>
      <c r="L4" s="7"/>
      <c r="M4" s="52" t="s">
        <v>103</v>
      </c>
      <c r="N4" s="90">
        <f>VLOOKUP(2005,$A$2:$E$21,5,FALSE())</f>
        <v>43388</v>
      </c>
      <c r="O4" s="7"/>
      <c r="P4" s="7"/>
      <c r="Q4" s="7"/>
      <c r="R4" s="7"/>
      <c r="S4" s="7"/>
      <c r="T4" s="7"/>
      <c r="U4" s="7"/>
      <c r="V4" s="7"/>
      <c r="W4" s="7"/>
      <c r="X4" s="7"/>
      <c r="Y4" s="7"/>
      <c r="Z4" s="7"/>
    </row>
    <row r="5" spans="1:26" ht="19.5" customHeight="1" x14ac:dyDescent="0.35">
      <c r="A5" s="80">
        <v>2004</v>
      </c>
      <c r="B5" s="20" t="s">
        <v>97</v>
      </c>
      <c r="C5" s="20" t="s">
        <v>104</v>
      </c>
      <c r="D5" s="10" t="s">
        <v>105</v>
      </c>
      <c r="E5" s="72">
        <v>5264</v>
      </c>
      <c r="F5" s="18">
        <v>44972</v>
      </c>
      <c r="G5" s="73">
        <f t="shared" si="0"/>
        <v>0</v>
      </c>
      <c r="H5" s="8" t="str">
        <f t="shared" si="1"/>
        <v>No</v>
      </c>
      <c r="I5" s="74">
        <f t="shared" si="2"/>
        <v>5300</v>
      </c>
      <c r="J5" s="74">
        <f t="shared" si="3"/>
        <v>5300</v>
      </c>
      <c r="K5" s="81">
        <f t="shared" si="4"/>
        <v>5200</v>
      </c>
      <c r="L5" s="7"/>
      <c r="M5" s="52" t="s">
        <v>106</v>
      </c>
      <c r="N5" s="90">
        <f>SUMIFS(E2:E21,C2:C21,"East",B2:B21,"Keyboard")</f>
        <v>80349</v>
      </c>
      <c r="O5" s="7"/>
      <c r="P5" s="7"/>
      <c r="Q5" s="7"/>
      <c r="R5" s="7"/>
      <c r="S5" s="7"/>
      <c r="T5" s="7"/>
      <c r="U5" s="7"/>
      <c r="V5" s="7"/>
      <c r="W5" s="7"/>
      <c r="X5" s="7"/>
      <c r="Y5" s="7"/>
      <c r="Z5" s="7"/>
    </row>
    <row r="6" spans="1:26" ht="19.5" customHeight="1" x14ac:dyDescent="0.35">
      <c r="A6" s="82">
        <v>2005</v>
      </c>
      <c r="B6" s="15" t="s">
        <v>93</v>
      </c>
      <c r="C6" s="15" t="s">
        <v>107</v>
      </c>
      <c r="D6" s="9" t="s">
        <v>108</v>
      </c>
      <c r="E6" s="69">
        <v>43388</v>
      </c>
      <c r="F6" s="13">
        <v>44987</v>
      </c>
      <c r="G6" s="70">
        <f t="shared" si="0"/>
        <v>4338.8</v>
      </c>
      <c r="H6" s="8" t="str">
        <f t="shared" si="1"/>
        <v>Yes</v>
      </c>
      <c r="I6" s="71">
        <f t="shared" si="2"/>
        <v>43400</v>
      </c>
      <c r="J6" s="71">
        <f t="shared" si="3"/>
        <v>43400</v>
      </c>
      <c r="K6" s="83">
        <f t="shared" si="4"/>
        <v>43300</v>
      </c>
      <c r="L6" s="7"/>
      <c r="M6" s="52" t="s">
        <v>109</v>
      </c>
      <c r="N6" s="90">
        <f>INDEX(E2:E21,MATCH("Person 8",D2:D21,0))</f>
        <v>46429</v>
      </c>
      <c r="O6" s="7"/>
      <c r="P6" s="7"/>
      <c r="Q6" s="7"/>
      <c r="R6" s="7"/>
      <c r="S6" s="7"/>
      <c r="T6" s="7"/>
      <c r="U6" s="7"/>
      <c r="V6" s="7"/>
      <c r="W6" s="7"/>
      <c r="X6" s="7"/>
      <c r="Y6" s="7"/>
      <c r="Z6" s="7"/>
    </row>
    <row r="7" spans="1:26" ht="19.5" customHeight="1" x14ac:dyDescent="0.35">
      <c r="A7" s="80">
        <v>2006</v>
      </c>
      <c r="B7" s="20" t="s">
        <v>101</v>
      </c>
      <c r="C7" s="20" t="s">
        <v>107</v>
      </c>
      <c r="D7" s="10" t="s">
        <v>110</v>
      </c>
      <c r="E7" s="72">
        <v>19757</v>
      </c>
      <c r="F7" s="18">
        <v>45002</v>
      </c>
      <c r="G7" s="73">
        <f t="shared" si="0"/>
        <v>987.85</v>
      </c>
      <c r="H7" s="8" t="str">
        <f t="shared" si="1"/>
        <v>No</v>
      </c>
      <c r="I7" s="74">
        <f t="shared" si="2"/>
        <v>19800</v>
      </c>
      <c r="J7" s="74">
        <f t="shared" si="3"/>
        <v>19800</v>
      </c>
      <c r="K7" s="81">
        <f t="shared" si="4"/>
        <v>19700</v>
      </c>
      <c r="L7" s="7"/>
      <c r="M7" s="52" t="s">
        <v>111</v>
      </c>
      <c r="N7" s="90">
        <f t="array" ref="N7">_xlfn.XLOOKUP("Person 12",D2:D21,E2:E21)</f>
        <v>35611</v>
      </c>
      <c r="O7" s="7"/>
      <c r="P7" s="7"/>
      <c r="Q7" s="7"/>
      <c r="R7" s="7"/>
      <c r="S7" s="7"/>
      <c r="T7" s="7"/>
      <c r="U7" s="7"/>
      <c r="V7" s="7"/>
      <c r="W7" s="7"/>
      <c r="X7" s="7"/>
      <c r="Y7" s="7"/>
      <c r="Z7" s="7"/>
    </row>
    <row r="8" spans="1:26" ht="19.5" customHeight="1" x14ac:dyDescent="0.35">
      <c r="A8" s="82">
        <v>2007</v>
      </c>
      <c r="B8" s="15" t="s">
        <v>101</v>
      </c>
      <c r="C8" s="15" t="s">
        <v>104</v>
      </c>
      <c r="D8" s="9" t="s">
        <v>112</v>
      </c>
      <c r="E8" s="69">
        <v>32058</v>
      </c>
      <c r="F8" s="13">
        <v>45017</v>
      </c>
      <c r="G8" s="70">
        <f t="shared" si="0"/>
        <v>3205.8</v>
      </c>
      <c r="H8" s="8" t="str">
        <f t="shared" si="1"/>
        <v>Yes</v>
      </c>
      <c r="I8" s="71">
        <f t="shared" si="2"/>
        <v>32100</v>
      </c>
      <c r="J8" s="71">
        <f t="shared" si="3"/>
        <v>32100</v>
      </c>
      <c r="K8" s="83">
        <f t="shared" si="4"/>
        <v>32000</v>
      </c>
      <c r="L8" s="7"/>
      <c r="M8" s="52" t="s">
        <v>113</v>
      </c>
      <c r="N8" s="91">
        <f t="array" ref="N8">_xlfn.XMATCH("Laptop",B2:B21)</f>
        <v>13</v>
      </c>
      <c r="O8" s="7"/>
      <c r="P8" s="7"/>
      <c r="Q8" s="7"/>
      <c r="R8" s="7"/>
      <c r="S8" s="7"/>
      <c r="T8" s="7"/>
      <c r="U8" s="7"/>
      <c r="V8" s="7"/>
      <c r="W8" s="7"/>
      <c r="X8" s="7"/>
      <c r="Y8" s="7"/>
      <c r="Z8" s="7"/>
    </row>
    <row r="9" spans="1:26" ht="19.5" customHeight="1" thickBot="1" x14ac:dyDescent="0.4">
      <c r="A9" s="80">
        <v>2008</v>
      </c>
      <c r="B9" s="20" t="s">
        <v>93</v>
      </c>
      <c r="C9" s="20" t="s">
        <v>104</v>
      </c>
      <c r="D9" s="10" t="s">
        <v>114</v>
      </c>
      <c r="E9" s="72">
        <v>46429</v>
      </c>
      <c r="F9" s="18">
        <v>45032</v>
      </c>
      <c r="G9" s="73">
        <f t="shared" si="0"/>
        <v>4642.9000000000005</v>
      </c>
      <c r="H9" s="8" t="str">
        <f t="shared" si="1"/>
        <v>Yes</v>
      </c>
      <c r="I9" s="74">
        <f t="shared" si="2"/>
        <v>46400</v>
      </c>
      <c r="J9" s="74">
        <f t="shared" si="3"/>
        <v>46500</v>
      </c>
      <c r="K9" s="81">
        <f t="shared" si="4"/>
        <v>46400</v>
      </c>
      <c r="L9" s="7"/>
      <c r="M9" s="57" t="s">
        <v>115</v>
      </c>
      <c r="N9" s="92">
        <f ca="1">SUM(OFFSET(E2,0,0,5,1))</f>
        <v>96800</v>
      </c>
      <c r="O9" s="7"/>
      <c r="P9" s="7"/>
      <c r="Q9" s="7"/>
      <c r="R9" s="7"/>
      <c r="S9" s="7"/>
      <c r="T9" s="7"/>
      <c r="U9" s="7"/>
      <c r="V9" s="7"/>
      <c r="W9" s="7"/>
      <c r="X9" s="7"/>
      <c r="Y9" s="7"/>
      <c r="Z9" s="7"/>
    </row>
    <row r="10" spans="1:26" ht="19.5" customHeight="1" x14ac:dyDescent="0.35">
      <c r="A10" s="82">
        <v>2009</v>
      </c>
      <c r="B10" s="15" t="s">
        <v>97</v>
      </c>
      <c r="C10" s="15" t="s">
        <v>104</v>
      </c>
      <c r="D10" s="9" t="s">
        <v>116</v>
      </c>
      <c r="E10" s="69">
        <v>19746</v>
      </c>
      <c r="F10" s="13">
        <v>45047</v>
      </c>
      <c r="G10" s="70">
        <f t="shared" si="0"/>
        <v>987.30000000000007</v>
      </c>
      <c r="H10" s="8" t="str">
        <f t="shared" si="1"/>
        <v>No</v>
      </c>
      <c r="I10" s="71">
        <f t="shared" si="2"/>
        <v>19700</v>
      </c>
      <c r="J10" s="71">
        <f t="shared" si="3"/>
        <v>19800</v>
      </c>
      <c r="K10" s="83">
        <f t="shared" si="4"/>
        <v>19700</v>
      </c>
      <c r="L10" s="7"/>
      <c r="M10" s="7"/>
      <c r="N10" s="7"/>
      <c r="O10" s="7"/>
      <c r="P10" s="7"/>
      <c r="Q10" s="7"/>
      <c r="R10" s="7"/>
      <c r="S10" s="7"/>
      <c r="T10" s="7"/>
      <c r="U10" s="7"/>
      <c r="V10" s="7"/>
      <c r="W10" s="7"/>
      <c r="X10" s="7"/>
      <c r="Y10" s="7"/>
      <c r="Z10" s="7"/>
    </row>
    <row r="11" spans="1:26" ht="19.5" customHeight="1" x14ac:dyDescent="0.35">
      <c r="A11" s="80">
        <v>2010</v>
      </c>
      <c r="B11" s="20" t="s">
        <v>93</v>
      </c>
      <c r="C11" s="20" t="s">
        <v>94</v>
      </c>
      <c r="D11" s="10" t="s">
        <v>117</v>
      </c>
      <c r="E11" s="72">
        <v>35185</v>
      </c>
      <c r="F11" s="18">
        <v>45062</v>
      </c>
      <c r="G11" s="73">
        <f t="shared" si="0"/>
        <v>3518.5</v>
      </c>
      <c r="H11" s="8" t="str">
        <f t="shared" si="1"/>
        <v>Yes</v>
      </c>
      <c r="I11" s="74">
        <f t="shared" si="2"/>
        <v>35200</v>
      </c>
      <c r="J11" s="74">
        <f t="shared" si="3"/>
        <v>35200</v>
      </c>
      <c r="K11" s="81">
        <f t="shared" si="4"/>
        <v>35100</v>
      </c>
      <c r="L11" s="7"/>
      <c r="M11" s="7"/>
      <c r="N11" s="7"/>
      <c r="O11" s="7"/>
      <c r="P11" s="7"/>
      <c r="Q11" s="7"/>
      <c r="R11" s="7"/>
      <c r="S11" s="7"/>
      <c r="T11" s="7"/>
      <c r="U11" s="7"/>
      <c r="V11" s="7"/>
      <c r="W11" s="7"/>
      <c r="X11" s="7"/>
      <c r="Y11" s="7"/>
      <c r="Z11" s="7"/>
    </row>
    <row r="12" spans="1:26" ht="19.5" customHeight="1" x14ac:dyDescent="0.35">
      <c r="A12" s="82">
        <v>2011</v>
      </c>
      <c r="B12" s="15" t="s">
        <v>93</v>
      </c>
      <c r="C12" s="15" t="s">
        <v>104</v>
      </c>
      <c r="D12" s="9" t="s">
        <v>118</v>
      </c>
      <c r="E12" s="69">
        <v>33920</v>
      </c>
      <c r="F12" s="13">
        <v>45077</v>
      </c>
      <c r="G12" s="70">
        <f t="shared" si="0"/>
        <v>3392</v>
      </c>
      <c r="H12" s="8" t="str">
        <f t="shared" si="1"/>
        <v>Yes</v>
      </c>
      <c r="I12" s="71">
        <f t="shared" si="2"/>
        <v>33900</v>
      </c>
      <c r="J12" s="71">
        <f t="shared" si="3"/>
        <v>34000</v>
      </c>
      <c r="K12" s="83">
        <f t="shared" si="4"/>
        <v>33900</v>
      </c>
      <c r="L12" s="7"/>
      <c r="M12" s="7"/>
      <c r="N12" s="7"/>
      <c r="O12" s="7"/>
      <c r="P12" s="7"/>
      <c r="Q12" s="7"/>
      <c r="R12" s="7"/>
      <c r="S12" s="7"/>
      <c r="T12" s="7"/>
      <c r="U12" s="7"/>
      <c r="V12" s="7"/>
      <c r="W12" s="7"/>
      <c r="X12" s="7"/>
      <c r="Y12" s="7"/>
      <c r="Z12" s="7"/>
    </row>
    <row r="13" spans="1:26" ht="19.5" customHeight="1" x14ac:dyDescent="0.35">
      <c r="A13" s="80">
        <v>2012</v>
      </c>
      <c r="B13" s="20" t="s">
        <v>119</v>
      </c>
      <c r="C13" s="20" t="s">
        <v>107</v>
      </c>
      <c r="D13" s="10" t="s">
        <v>120</v>
      </c>
      <c r="E13" s="72">
        <v>35611</v>
      </c>
      <c r="F13" s="18">
        <v>45092</v>
      </c>
      <c r="G13" s="73">
        <f t="shared" si="0"/>
        <v>3561.1000000000004</v>
      </c>
      <c r="H13" s="8" t="str">
        <f t="shared" si="1"/>
        <v>Yes</v>
      </c>
      <c r="I13" s="74">
        <f t="shared" si="2"/>
        <v>35600</v>
      </c>
      <c r="J13" s="74">
        <f t="shared" si="3"/>
        <v>35700</v>
      </c>
      <c r="K13" s="81">
        <f t="shared" si="4"/>
        <v>35600</v>
      </c>
      <c r="L13" s="7"/>
      <c r="M13" s="7"/>
      <c r="N13" s="7"/>
      <c r="O13" s="7"/>
      <c r="P13" s="7"/>
      <c r="Q13" s="7"/>
      <c r="R13" s="7"/>
      <c r="S13" s="7"/>
      <c r="T13" s="7"/>
      <c r="U13" s="7"/>
      <c r="V13" s="7"/>
      <c r="W13" s="7"/>
      <c r="X13" s="7"/>
      <c r="Y13" s="7"/>
      <c r="Z13" s="7"/>
    </row>
    <row r="14" spans="1:26" ht="19.5" customHeight="1" x14ac:dyDescent="0.35">
      <c r="A14" s="82">
        <v>2013</v>
      </c>
      <c r="B14" s="15" t="s">
        <v>121</v>
      </c>
      <c r="C14" s="15" t="s">
        <v>104</v>
      </c>
      <c r="D14" s="9" t="s">
        <v>122</v>
      </c>
      <c r="E14" s="69">
        <v>15560</v>
      </c>
      <c r="F14" s="13">
        <v>45107</v>
      </c>
      <c r="G14" s="70">
        <f t="shared" si="0"/>
        <v>778</v>
      </c>
      <c r="H14" s="8" t="str">
        <f t="shared" si="1"/>
        <v>Yes</v>
      </c>
      <c r="I14" s="71">
        <f t="shared" si="2"/>
        <v>15600</v>
      </c>
      <c r="J14" s="71">
        <f t="shared" si="3"/>
        <v>15600</v>
      </c>
      <c r="K14" s="83">
        <f t="shared" si="4"/>
        <v>15500</v>
      </c>
      <c r="L14" s="7"/>
      <c r="M14" s="7"/>
      <c r="N14" s="7"/>
      <c r="O14" s="7"/>
      <c r="P14" s="7"/>
      <c r="Q14" s="7"/>
      <c r="R14" s="7"/>
      <c r="S14" s="7"/>
      <c r="T14" s="7"/>
      <c r="U14" s="7"/>
      <c r="V14" s="7"/>
      <c r="W14" s="7"/>
      <c r="X14" s="7"/>
      <c r="Y14" s="7"/>
      <c r="Z14" s="7"/>
    </row>
    <row r="15" spans="1:26" ht="19.5" customHeight="1" x14ac:dyDescent="0.35">
      <c r="A15" s="80">
        <v>2014</v>
      </c>
      <c r="B15" s="20" t="s">
        <v>121</v>
      </c>
      <c r="C15" s="20" t="s">
        <v>94</v>
      </c>
      <c r="D15" s="10" t="s">
        <v>123</v>
      </c>
      <c r="E15" s="72">
        <v>7283</v>
      </c>
      <c r="F15" s="18">
        <v>45122</v>
      </c>
      <c r="G15" s="73">
        <f t="shared" si="0"/>
        <v>0</v>
      </c>
      <c r="H15" s="8" t="str">
        <f t="shared" si="1"/>
        <v>Yes</v>
      </c>
      <c r="I15" s="74">
        <f t="shared" si="2"/>
        <v>7300</v>
      </c>
      <c r="J15" s="74">
        <f t="shared" si="3"/>
        <v>7300</v>
      </c>
      <c r="K15" s="81">
        <f t="shared" si="4"/>
        <v>7200</v>
      </c>
      <c r="L15" s="7"/>
      <c r="M15" s="7"/>
      <c r="N15" s="7"/>
      <c r="O15" s="7"/>
      <c r="P15" s="7"/>
      <c r="Q15" s="7"/>
      <c r="R15" s="7"/>
      <c r="S15" s="7"/>
      <c r="T15" s="7"/>
      <c r="U15" s="7"/>
      <c r="V15" s="7"/>
      <c r="W15" s="7"/>
      <c r="X15" s="7"/>
      <c r="Y15" s="7"/>
      <c r="Z15" s="7"/>
    </row>
    <row r="16" spans="1:26" ht="19.5" customHeight="1" x14ac:dyDescent="0.35">
      <c r="A16" s="82">
        <v>2015</v>
      </c>
      <c r="B16" s="15" t="s">
        <v>121</v>
      </c>
      <c r="C16" s="15" t="s">
        <v>104</v>
      </c>
      <c r="D16" s="9" t="s">
        <v>124</v>
      </c>
      <c r="E16" s="69">
        <v>15678</v>
      </c>
      <c r="F16" s="13">
        <v>45137</v>
      </c>
      <c r="G16" s="70">
        <f t="shared" si="0"/>
        <v>783.90000000000009</v>
      </c>
      <c r="H16" s="8" t="str">
        <f t="shared" si="1"/>
        <v>Yes</v>
      </c>
      <c r="I16" s="71">
        <f t="shared" si="2"/>
        <v>15700</v>
      </c>
      <c r="J16" s="71">
        <f t="shared" si="3"/>
        <v>15700</v>
      </c>
      <c r="K16" s="83">
        <f t="shared" si="4"/>
        <v>15600</v>
      </c>
      <c r="L16" s="7"/>
      <c r="M16" s="7"/>
      <c r="N16" s="7"/>
      <c r="O16" s="7"/>
      <c r="P16" s="7"/>
      <c r="Q16" s="7"/>
      <c r="R16" s="7"/>
      <c r="S16" s="7"/>
      <c r="T16" s="7"/>
      <c r="U16" s="7"/>
      <c r="V16" s="7"/>
      <c r="W16" s="7"/>
      <c r="X16" s="7"/>
      <c r="Y16" s="7"/>
      <c r="Z16" s="7"/>
    </row>
    <row r="17" spans="1:26" ht="19.5" customHeight="1" x14ac:dyDescent="0.35">
      <c r="A17" s="80">
        <v>2016</v>
      </c>
      <c r="B17" s="20" t="s">
        <v>101</v>
      </c>
      <c r="C17" s="20" t="s">
        <v>104</v>
      </c>
      <c r="D17" s="10" t="s">
        <v>125</v>
      </c>
      <c r="E17" s="72">
        <v>5277</v>
      </c>
      <c r="F17" s="18">
        <v>45152</v>
      </c>
      <c r="G17" s="73">
        <f t="shared" si="0"/>
        <v>0</v>
      </c>
      <c r="H17" s="8" t="str">
        <f t="shared" si="1"/>
        <v>No</v>
      </c>
      <c r="I17" s="74">
        <f t="shared" si="2"/>
        <v>5300</v>
      </c>
      <c r="J17" s="74">
        <f t="shared" si="3"/>
        <v>5300</v>
      </c>
      <c r="K17" s="81">
        <f t="shared" si="4"/>
        <v>5200</v>
      </c>
      <c r="L17" s="7"/>
      <c r="M17" s="7"/>
      <c r="N17" s="7"/>
      <c r="O17" s="7"/>
      <c r="P17" s="7"/>
      <c r="Q17" s="7"/>
      <c r="R17" s="7"/>
      <c r="S17" s="7"/>
      <c r="T17" s="7"/>
      <c r="U17" s="7"/>
      <c r="V17" s="7"/>
      <c r="W17" s="7"/>
      <c r="X17" s="7"/>
      <c r="Y17" s="7"/>
      <c r="Z17" s="7"/>
    </row>
    <row r="18" spans="1:26" ht="19.5" customHeight="1" x14ac:dyDescent="0.35">
      <c r="A18" s="82">
        <v>2017</v>
      </c>
      <c r="B18" s="15" t="s">
        <v>119</v>
      </c>
      <c r="C18" s="15" t="s">
        <v>107</v>
      </c>
      <c r="D18" s="9" t="s">
        <v>126</v>
      </c>
      <c r="E18" s="69">
        <v>41871</v>
      </c>
      <c r="F18" s="13">
        <v>45167</v>
      </c>
      <c r="G18" s="70">
        <f t="shared" si="0"/>
        <v>4187.1000000000004</v>
      </c>
      <c r="H18" s="8" t="str">
        <f t="shared" si="1"/>
        <v>Yes</v>
      </c>
      <c r="I18" s="71">
        <f t="shared" si="2"/>
        <v>41900</v>
      </c>
      <c r="J18" s="71">
        <f t="shared" si="3"/>
        <v>41900</v>
      </c>
      <c r="K18" s="83">
        <f t="shared" si="4"/>
        <v>41800</v>
      </c>
      <c r="L18" s="7"/>
      <c r="M18" s="7"/>
      <c r="N18" s="7"/>
      <c r="O18" s="7"/>
      <c r="P18" s="7"/>
      <c r="Q18" s="7"/>
      <c r="R18" s="7"/>
      <c r="S18" s="7"/>
      <c r="T18" s="7"/>
      <c r="U18" s="7"/>
      <c r="V18" s="7"/>
      <c r="W18" s="7"/>
      <c r="X18" s="7"/>
      <c r="Y18" s="7"/>
      <c r="Z18" s="7"/>
    </row>
    <row r="19" spans="1:26" ht="19.5" customHeight="1" x14ac:dyDescent="0.35">
      <c r="A19" s="80">
        <v>2018</v>
      </c>
      <c r="B19" s="20" t="s">
        <v>119</v>
      </c>
      <c r="C19" s="20" t="s">
        <v>98</v>
      </c>
      <c r="D19" s="10" t="s">
        <v>127</v>
      </c>
      <c r="E19" s="72">
        <v>38161</v>
      </c>
      <c r="F19" s="18">
        <v>45182</v>
      </c>
      <c r="G19" s="73">
        <f t="shared" si="0"/>
        <v>3816.1000000000004</v>
      </c>
      <c r="H19" s="8" t="str">
        <f t="shared" si="1"/>
        <v>Yes</v>
      </c>
      <c r="I19" s="74">
        <f t="shared" si="2"/>
        <v>38200</v>
      </c>
      <c r="J19" s="74">
        <f t="shared" si="3"/>
        <v>38200</v>
      </c>
      <c r="K19" s="81">
        <f t="shared" si="4"/>
        <v>38100</v>
      </c>
      <c r="L19" s="7"/>
      <c r="M19" s="7"/>
      <c r="N19" s="7"/>
      <c r="O19" s="7"/>
      <c r="P19" s="7"/>
      <c r="Q19" s="7"/>
      <c r="R19" s="7"/>
      <c r="S19" s="7"/>
      <c r="T19" s="7"/>
      <c r="U19" s="7"/>
      <c r="V19" s="7"/>
      <c r="W19" s="7"/>
      <c r="X19" s="7"/>
      <c r="Y19" s="7"/>
      <c r="Z19" s="7"/>
    </row>
    <row r="20" spans="1:26" ht="19.5" customHeight="1" x14ac:dyDescent="0.35">
      <c r="A20" s="82">
        <v>2019</v>
      </c>
      <c r="B20" s="15" t="s">
        <v>101</v>
      </c>
      <c r="C20" s="15" t="s">
        <v>98</v>
      </c>
      <c r="D20" s="9" t="s">
        <v>128</v>
      </c>
      <c r="E20" s="69">
        <v>30436</v>
      </c>
      <c r="F20" s="13">
        <v>45197</v>
      </c>
      <c r="G20" s="70">
        <f t="shared" si="0"/>
        <v>3043.6000000000004</v>
      </c>
      <c r="H20" s="8" t="str">
        <f t="shared" si="1"/>
        <v>Yes</v>
      </c>
      <c r="I20" s="71">
        <f t="shared" si="2"/>
        <v>30400</v>
      </c>
      <c r="J20" s="71">
        <f t="shared" si="3"/>
        <v>30500</v>
      </c>
      <c r="K20" s="83">
        <f t="shared" si="4"/>
        <v>30400</v>
      </c>
      <c r="L20" s="7"/>
      <c r="M20" s="7"/>
      <c r="N20" s="7"/>
      <c r="O20" s="7"/>
      <c r="P20" s="7"/>
      <c r="Q20" s="7"/>
      <c r="R20" s="7"/>
      <c r="S20" s="7"/>
      <c r="T20" s="7"/>
      <c r="U20" s="7"/>
      <c r="V20" s="7"/>
      <c r="W20" s="7"/>
      <c r="X20" s="7"/>
      <c r="Y20" s="7"/>
      <c r="Z20" s="7"/>
    </row>
    <row r="21" spans="1:26" ht="19.5" customHeight="1" thickBot="1" x14ac:dyDescent="0.4">
      <c r="A21" s="84">
        <v>2020</v>
      </c>
      <c r="B21" s="50" t="s">
        <v>97</v>
      </c>
      <c r="C21" s="50" t="s">
        <v>98</v>
      </c>
      <c r="D21" s="49" t="s">
        <v>129</v>
      </c>
      <c r="E21" s="85">
        <v>33953</v>
      </c>
      <c r="F21" s="46">
        <v>45212</v>
      </c>
      <c r="G21" s="86">
        <f t="shared" si="0"/>
        <v>3395.3</v>
      </c>
      <c r="H21" s="48" t="str">
        <f t="shared" si="1"/>
        <v>Yes</v>
      </c>
      <c r="I21" s="87">
        <f t="shared" si="2"/>
        <v>34000</v>
      </c>
      <c r="J21" s="87">
        <f t="shared" si="3"/>
        <v>34000</v>
      </c>
      <c r="K21" s="88">
        <f t="shared" si="4"/>
        <v>33900</v>
      </c>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zoomScaleNormal="100" zoomScalePageLayoutView="60" workbookViewId="0">
      <pane ySplit="1" topLeftCell="A2" activePane="bottomLeft" state="frozen"/>
      <selection pane="bottomLeft" activeCell="E1" sqref="E1"/>
    </sheetView>
  </sheetViews>
  <sheetFormatPr defaultColWidth="14.453125" defaultRowHeight="14.5" x14ac:dyDescent="0.35"/>
  <cols>
    <col min="1" max="2" width="15" customWidth="1"/>
    <col min="3" max="3" width="14" customWidth="1"/>
    <col min="4" max="4" width="12" customWidth="1"/>
    <col min="5" max="5" width="23" customWidth="1"/>
    <col min="6" max="8" width="17" customWidth="1"/>
    <col min="9" max="9" width="18" customWidth="1"/>
    <col min="10" max="10" width="17" customWidth="1"/>
    <col min="11" max="11" width="32.453125" bestFit="1" customWidth="1"/>
    <col min="12" max="25" width="17" customWidth="1"/>
  </cols>
  <sheetData>
    <row r="1" spans="1:25" ht="24.75" customHeight="1" thickBot="1" x14ac:dyDescent="0.4">
      <c r="A1" s="27" t="s">
        <v>130</v>
      </c>
      <c r="B1" s="28" t="s">
        <v>42</v>
      </c>
      <c r="C1" s="28" t="s">
        <v>131</v>
      </c>
      <c r="D1" s="28" t="s">
        <v>132</v>
      </c>
      <c r="E1" s="28" t="s">
        <v>133</v>
      </c>
      <c r="F1" s="28" t="s">
        <v>134</v>
      </c>
      <c r="G1" s="28" t="s">
        <v>135</v>
      </c>
      <c r="H1" s="28" t="s">
        <v>136</v>
      </c>
      <c r="I1" s="29" t="s">
        <v>137</v>
      </c>
      <c r="J1" s="7"/>
      <c r="K1" s="61" t="s">
        <v>138</v>
      </c>
      <c r="L1" s="62" t="s">
        <v>55</v>
      </c>
      <c r="M1" s="7"/>
      <c r="N1" s="7"/>
      <c r="O1" s="7"/>
      <c r="P1" s="7"/>
      <c r="Q1" s="7"/>
      <c r="R1" s="7"/>
      <c r="S1" s="7"/>
      <c r="T1" s="7"/>
      <c r="U1" s="7"/>
      <c r="V1" s="7"/>
      <c r="W1" s="7"/>
      <c r="X1" s="7"/>
      <c r="Y1" s="7"/>
    </row>
    <row r="2" spans="1:25" ht="19.5" customHeight="1" x14ac:dyDescent="0.35">
      <c r="A2" s="97">
        <v>3001</v>
      </c>
      <c r="B2" s="21" t="s">
        <v>139</v>
      </c>
      <c r="C2" s="25" t="s">
        <v>140</v>
      </c>
      <c r="D2" s="75">
        <v>86766</v>
      </c>
      <c r="E2" s="23">
        <v>42005</v>
      </c>
      <c r="F2" s="23">
        <v>33239</v>
      </c>
      <c r="G2" s="96">
        <f t="shared" ref="G2:G21" si="0">DATEDIF(F2,$L$2,"Y")</f>
        <v>37</v>
      </c>
      <c r="H2" s="96">
        <f t="shared" ref="H2:H21" si="1">YEAR(E2)</f>
        <v>2015</v>
      </c>
      <c r="I2" s="60">
        <f t="shared" ref="I2:I21" si="2">$L$2-E2</f>
        <v>5113</v>
      </c>
      <c r="J2" s="7"/>
      <c r="K2" s="59" t="s">
        <v>141</v>
      </c>
      <c r="L2" s="102">
        <v>47118</v>
      </c>
      <c r="M2" s="7"/>
      <c r="N2" s="7"/>
      <c r="O2" s="7"/>
      <c r="P2" s="7"/>
      <c r="Q2" s="7"/>
      <c r="R2" s="7"/>
      <c r="S2" s="7"/>
      <c r="T2" s="7"/>
      <c r="U2" s="7"/>
      <c r="V2" s="7"/>
      <c r="W2" s="7"/>
      <c r="X2" s="7"/>
      <c r="Y2" s="7"/>
    </row>
    <row r="3" spans="1:25" ht="19.5" customHeight="1" x14ac:dyDescent="0.35">
      <c r="A3" s="98">
        <v>3002</v>
      </c>
      <c r="B3" s="16" t="s">
        <v>142</v>
      </c>
      <c r="C3" s="10" t="s">
        <v>140</v>
      </c>
      <c r="D3" s="72">
        <v>31943</v>
      </c>
      <c r="E3" s="18">
        <v>42255</v>
      </c>
      <c r="F3" s="18">
        <v>33489</v>
      </c>
      <c r="G3" s="95">
        <f t="shared" si="0"/>
        <v>37</v>
      </c>
      <c r="H3" s="95">
        <f t="shared" si="1"/>
        <v>2015</v>
      </c>
      <c r="I3" s="53">
        <f t="shared" si="2"/>
        <v>4863</v>
      </c>
      <c r="J3" s="7"/>
      <c r="K3" s="52" t="s">
        <v>143</v>
      </c>
      <c r="L3" s="90">
        <f t="array" ref="L3">_xlfn.XLOOKUP("Employee 8",B2:B21,D2:D21)</f>
        <v>91659</v>
      </c>
      <c r="M3" s="7"/>
      <c r="N3" s="7"/>
      <c r="O3" s="7"/>
      <c r="P3" s="7"/>
      <c r="Q3" s="7"/>
      <c r="R3" s="7"/>
      <c r="S3" s="7"/>
      <c r="T3" s="7"/>
      <c r="U3" s="7"/>
      <c r="V3" s="7"/>
      <c r="W3" s="7"/>
      <c r="X3" s="7"/>
      <c r="Y3" s="7"/>
    </row>
    <row r="4" spans="1:25" ht="19.5" customHeight="1" x14ac:dyDescent="0.35">
      <c r="A4" s="99">
        <v>3003</v>
      </c>
      <c r="B4" s="11" t="s">
        <v>144</v>
      </c>
      <c r="C4" s="9" t="s">
        <v>145</v>
      </c>
      <c r="D4" s="69">
        <v>63374</v>
      </c>
      <c r="E4" s="13">
        <v>42505</v>
      </c>
      <c r="F4" s="13">
        <v>33739</v>
      </c>
      <c r="G4" s="94">
        <f t="shared" si="0"/>
        <v>36</v>
      </c>
      <c r="H4" s="94">
        <f t="shared" si="1"/>
        <v>2016</v>
      </c>
      <c r="I4" s="53">
        <f t="shared" si="2"/>
        <v>4613</v>
      </c>
      <c r="J4" s="7"/>
      <c r="K4" s="52" t="s">
        <v>146</v>
      </c>
      <c r="L4" s="90">
        <f t="array" ref="L4">_xlfn.XLOOKUP(3016,A2:A21,D2:D21)</f>
        <v>114173</v>
      </c>
      <c r="M4" s="7"/>
      <c r="N4" s="7"/>
      <c r="O4" s="7"/>
      <c r="P4" s="7"/>
      <c r="Q4" s="7"/>
      <c r="R4" s="7"/>
      <c r="S4" s="7"/>
      <c r="T4" s="7"/>
      <c r="U4" s="7"/>
      <c r="V4" s="7"/>
      <c r="W4" s="7"/>
      <c r="X4" s="7"/>
      <c r="Y4" s="7"/>
    </row>
    <row r="5" spans="1:25" ht="19.5" customHeight="1" thickBot="1" x14ac:dyDescent="0.4">
      <c r="A5" s="98">
        <v>3004</v>
      </c>
      <c r="B5" s="16" t="s">
        <v>147</v>
      </c>
      <c r="C5" s="10" t="s">
        <v>140</v>
      </c>
      <c r="D5" s="72">
        <v>109972</v>
      </c>
      <c r="E5" s="18">
        <v>42755</v>
      </c>
      <c r="F5" s="18">
        <v>33989</v>
      </c>
      <c r="G5" s="95">
        <f t="shared" si="0"/>
        <v>35</v>
      </c>
      <c r="H5" s="95">
        <f t="shared" si="1"/>
        <v>2017</v>
      </c>
      <c r="I5" s="53">
        <f t="shared" si="2"/>
        <v>4363</v>
      </c>
      <c r="J5" s="7"/>
      <c r="K5" s="57" t="s">
        <v>148</v>
      </c>
      <c r="L5" s="103" t="str">
        <f>INDEX(C2:C21,MATCH(3010,A2:A21,0))</f>
        <v>HR</v>
      </c>
      <c r="M5" s="7"/>
      <c r="N5" s="7"/>
      <c r="O5" s="7"/>
      <c r="P5" s="7"/>
      <c r="Q5" s="7"/>
      <c r="R5" s="7"/>
      <c r="S5" s="7"/>
      <c r="T5" s="7"/>
      <c r="U5" s="7"/>
      <c r="V5" s="7"/>
      <c r="W5" s="7"/>
      <c r="X5" s="7"/>
      <c r="Y5" s="7"/>
    </row>
    <row r="6" spans="1:25" ht="19.5" customHeight="1" x14ac:dyDescent="0.35">
      <c r="A6" s="99">
        <v>3005</v>
      </c>
      <c r="B6" s="11" t="s">
        <v>149</v>
      </c>
      <c r="C6" s="9" t="s">
        <v>150</v>
      </c>
      <c r="D6" s="69">
        <v>54149</v>
      </c>
      <c r="E6" s="13">
        <v>43005</v>
      </c>
      <c r="F6" s="13">
        <v>34239</v>
      </c>
      <c r="G6" s="94">
        <f t="shared" si="0"/>
        <v>35</v>
      </c>
      <c r="H6" s="94">
        <f t="shared" si="1"/>
        <v>2017</v>
      </c>
      <c r="I6" s="53">
        <f t="shared" si="2"/>
        <v>4113</v>
      </c>
      <c r="J6" s="7"/>
      <c r="K6" s="7"/>
      <c r="L6" s="7"/>
      <c r="M6" s="7"/>
      <c r="N6" s="7"/>
      <c r="O6" s="7"/>
      <c r="P6" s="7"/>
      <c r="Q6" s="7"/>
      <c r="R6" s="7"/>
      <c r="S6" s="7"/>
      <c r="T6" s="7"/>
      <c r="U6" s="7"/>
      <c r="V6" s="7"/>
      <c r="W6" s="7"/>
      <c r="X6" s="7"/>
      <c r="Y6" s="7"/>
    </row>
    <row r="7" spans="1:25" ht="19.5" customHeight="1" x14ac:dyDescent="0.35">
      <c r="A7" s="98">
        <v>3006</v>
      </c>
      <c r="B7" s="16" t="s">
        <v>151</v>
      </c>
      <c r="C7" s="10" t="s">
        <v>150</v>
      </c>
      <c r="D7" s="72">
        <v>78689</v>
      </c>
      <c r="E7" s="18">
        <v>43255</v>
      </c>
      <c r="F7" s="18">
        <v>34489</v>
      </c>
      <c r="G7" s="95">
        <f t="shared" si="0"/>
        <v>34</v>
      </c>
      <c r="H7" s="95">
        <f t="shared" si="1"/>
        <v>2018</v>
      </c>
      <c r="I7" s="53">
        <f t="shared" si="2"/>
        <v>3863</v>
      </c>
      <c r="J7" s="7"/>
      <c r="K7" s="7"/>
      <c r="L7" s="7"/>
      <c r="M7" s="7"/>
      <c r="N7" s="7"/>
      <c r="O7" s="7"/>
      <c r="P7" s="7"/>
      <c r="Q7" s="7"/>
      <c r="R7" s="7"/>
      <c r="S7" s="7"/>
      <c r="T7" s="7"/>
      <c r="U7" s="7"/>
      <c r="V7" s="7"/>
      <c r="W7" s="7"/>
      <c r="X7" s="7"/>
      <c r="Y7" s="7"/>
    </row>
    <row r="8" spans="1:25" ht="19.5" customHeight="1" x14ac:dyDescent="0.35">
      <c r="A8" s="99">
        <v>3007</v>
      </c>
      <c r="B8" s="11" t="s">
        <v>152</v>
      </c>
      <c r="C8" s="9" t="s">
        <v>153</v>
      </c>
      <c r="D8" s="69">
        <v>35960</v>
      </c>
      <c r="E8" s="13">
        <v>43505</v>
      </c>
      <c r="F8" s="13">
        <v>34739</v>
      </c>
      <c r="G8" s="94">
        <f t="shared" si="0"/>
        <v>33</v>
      </c>
      <c r="H8" s="94">
        <f t="shared" si="1"/>
        <v>2019</v>
      </c>
      <c r="I8" s="53">
        <f t="shared" si="2"/>
        <v>3613</v>
      </c>
      <c r="J8" s="7"/>
      <c r="K8" s="7"/>
      <c r="L8" s="7"/>
      <c r="M8" s="7"/>
      <c r="N8" s="7"/>
      <c r="O8" s="7"/>
      <c r="P8" s="7"/>
      <c r="Q8" s="7"/>
      <c r="R8" s="7"/>
      <c r="S8" s="7"/>
      <c r="T8" s="7"/>
      <c r="U8" s="7"/>
      <c r="V8" s="7"/>
      <c r="W8" s="7"/>
      <c r="X8" s="7"/>
      <c r="Y8" s="7"/>
    </row>
    <row r="9" spans="1:25" ht="19.5" customHeight="1" x14ac:dyDescent="0.35">
      <c r="A9" s="98">
        <v>3008</v>
      </c>
      <c r="B9" s="16" t="s">
        <v>154</v>
      </c>
      <c r="C9" s="10" t="s">
        <v>150</v>
      </c>
      <c r="D9" s="72">
        <v>91659</v>
      </c>
      <c r="E9" s="18">
        <v>43755</v>
      </c>
      <c r="F9" s="18">
        <v>34989</v>
      </c>
      <c r="G9" s="95">
        <f t="shared" si="0"/>
        <v>33</v>
      </c>
      <c r="H9" s="95">
        <f t="shared" si="1"/>
        <v>2019</v>
      </c>
      <c r="I9" s="53">
        <f t="shared" si="2"/>
        <v>3363</v>
      </c>
      <c r="J9" s="7"/>
      <c r="K9" s="7"/>
      <c r="L9" s="7"/>
      <c r="M9" s="7"/>
      <c r="N9" s="7"/>
      <c r="O9" s="7"/>
      <c r="P9" s="7"/>
      <c r="Q9" s="7"/>
      <c r="R9" s="7"/>
      <c r="S9" s="7"/>
      <c r="T9" s="7"/>
      <c r="U9" s="7"/>
      <c r="V9" s="7"/>
      <c r="W9" s="7"/>
      <c r="X9" s="7"/>
      <c r="Y9" s="7"/>
    </row>
    <row r="10" spans="1:25" ht="19.5" customHeight="1" x14ac:dyDescent="0.35">
      <c r="A10" s="99">
        <v>3009</v>
      </c>
      <c r="B10" s="11" t="s">
        <v>155</v>
      </c>
      <c r="C10" s="9" t="s">
        <v>150</v>
      </c>
      <c r="D10" s="69">
        <v>90423</v>
      </c>
      <c r="E10" s="13">
        <v>44005</v>
      </c>
      <c r="F10" s="13">
        <v>35239</v>
      </c>
      <c r="G10" s="94">
        <f t="shared" si="0"/>
        <v>32</v>
      </c>
      <c r="H10" s="94">
        <f t="shared" si="1"/>
        <v>2020</v>
      </c>
      <c r="I10" s="53">
        <f t="shared" si="2"/>
        <v>3113</v>
      </c>
      <c r="J10" s="7"/>
      <c r="K10" s="7"/>
      <c r="L10" s="7"/>
      <c r="M10" s="7"/>
      <c r="N10" s="7"/>
      <c r="O10" s="7"/>
      <c r="P10" s="7"/>
      <c r="Q10" s="7"/>
      <c r="R10" s="7"/>
      <c r="S10" s="7"/>
      <c r="T10" s="7"/>
      <c r="U10" s="7"/>
      <c r="V10" s="7"/>
      <c r="W10" s="7"/>
      <c r="X10" s="7"/>
      <c r="Y10" s="7"/>
    </row>
    <row r="11" spans="1:25" ht="19.5" customHeight="1" x14ac:dyDescent="0.35">
      <c r="A11" s="98">
        <v>3010</v>
      </c>
      <c r="B11" s="16" t="s">
        <v>156</v>
      </c>
      <c r="C11" s="10" t="s">
        <v>145</v>
      </c>
      <c r="D11" s="72">
        <v>107877</v>
      </c>
      <c r="E11" s="18">
        <v>44255</v>
      </c>
      <c r="F11" s="18">
        <v>35489</v>
      </c>
      <c r="G11" s="95">
        <f t="shared" si="0"/>
        <v>31</v>
      </c>
      <c r="H11" s="95">
        <f t="shared" si="1"/>
        <v>2021</v>
      </c>
      <c r="I11" s="53">
        <f t="shared" si="2"/>
        <v>2863</v>
      </c>
      <c r="J11" s="7"/>
      <c r="K11" s="7"/>
      <c r="L11" s="7"/>
      <c r="M11" s="7"/>
      <c r="N11" s="7"/>
      <c r="O11" s="7"/>
      <c r="P11" s="7"/>
      <c r="Q11" s="7"/>
      <c r="R11" s="7"/>
      <c r="S11" s="7"/>
      <c r="T11" s="7"/>
      <c r="U11" s="7"/>
      <c r="V11" s="7"/>
      <c r="W11" s="7"/>
      <c r="X11" s="7"/>
      <c r="Y11" s="7"/>
    </row>
    <row r="12" spans="1:25" ht="19.5" customHeight="1" x14ac:dyDescent="0.35">
      <c r="A12" s="99">
        <v>3011</v>
      </c>
      <c r="B12" s="11" t="s">
        <v>157</v>
      </c>
      <c r="C12" s="9" t="s">
        <v>140</v>
      </c>
      <c r="D12" s="69">
        <v>107634</v>
      </c>
      <c r="E12" s="13">
        <v>44505</v>
      </c>
      <c r="F12" s="13">
        <v>35739</v>
      </c>
      <c r="G12" s="94">
        <f t="shared" si="0"/>
        <v>31</v>
      </c>
      <c r="H12" s="94">
        <f t="shared" si="1"/>
        <v>2021</v>
      </c>
      <c r="I12" s="53">
        <f t="shared" si="2"/>
        <v>2613</v>
      </c>
      <c r="J12" s="7"/>
      <c r="K12" s="7"/>
      <c r="L12" s="7"/>
      <c r="M12" s="7"/>
      <c r="N12" s="7"/>
      <c r="O12" s="7"/>
      <c r="P12" s="7"/>
      <c r="Q12" s="7"/>
      <c r="R12" s="7"/>
      <c r="S12" s="7"/>
      <c r="T12" s="7"/>
      <c r="U12" s="7"/>
      <c r="V12" s="7"/>
      <c r="W12" s="7"/>
      <c r="X12" s="7"/>
      <c r="Y12" s="7"/>
    </row>
    <row r="13" spans="1:25" ht="19.5" customHeight="1" x14ac:dyDescent="0.35">
      <c r="A13" s="98">
        <v>3012</v>
      </c>
      <c r="B13" s="16" t="s">
        <v>158</v>
      </c>
      <c r="C13" s="10" t="s">
        <v>140</v>
      </c>
      <c r="D13" s="72">
        <v>35226</v>
      </c>
      <c r="E13" s="18">
        <v>44755</v>
      </c>
      <c r="F13" s="18">
        <v>35989</v>
      </c>
      <c r="G13" s="95">
        <f t="shared" si="0"/>
        <v>30</v>
      </c>
      <c r="H13" s="95">
        <f t="shared" si="1"/>
        <v>2022</v>
      </c>
      <c r="I13" s="53">
        <f t="shared" si="2"/>
        <v>2363</v>
      </c>
      <c r="J13" s="7"/>
      <c r="K13" s="7"/>
      <c r="L13" s="7"/>
      <c r="M13" s="7"/>
      <c r="N13" s="7"/>
      <c r="O13" s="7"/>
      <c r="P13" s="7"/>
      <c r="Q13" s="7"/>
      <c r="R13" s="7"/>
      <c r="S13" s="7"/>
      <c r="T13" s="7"/>
      <c r="U13" s="7"/>
      <c r="V13" s="7"/>
      <c r="W13" s="7"/>
      <c r="X13" s="7"/>
      <c r="Y13" s="7"/>
    </row>
    <row r="14" spans="1:25" ht="19.5" customHeight="1" x14ac:dyDescent="0.35">
      <c r="A14" s="99">
        <v>3013</v>
      </c>
      <c r="B14" s="11" t="s">
        <v>159</v>
      </c>
      <c r="C14" s="9" t="s">
        <v>145</v>
      </c>
      <c r="D14" s="69">
        <v>40872</v>
      </c>
      <c r="E14" s="13">
        <v>45005</v>
      </c>
      <c r="F14" s="13">
        <v>36239</v>
      </c>
      <c r="G14" s="94">
        <f t="shared" si="0"/>
        <v>29</v>
      </c>
      <c r="H14" s="94">
        <f t="shared" si="1"/>
        <v>2023</v>
      </c>
      <c r="I14" s="53">
        <f t="shared" si="2"/>
        <v>2113</v>
      </c>
      <c r="J14" s="7"/>
      <c r="K14" s="7"/>
      <c r="L14" s="7"/>
      <c r="M14" s="7"/>
      <c r="N14" s="7"/>
      <c r="O14" s="7"/>
      <c r="P14" s="7"/>
      <c r="Q14" s="7"/>
      <c r="R14" s="7"/>
      <c r="S14" s="7"/>
      <c r="T14" s="7"/>
      <c r="U14" s="7"/>
      <c r="V14" s="7"/>
      <c r="W14" s="7"/>
      <c r="X14" s="7"/>
      <c r="Y14" s="7"/>
    </row>
    <row r="15" spans="1:25" ht="19.5" customHeight="1" x14ac:dyDescent="0.35">
      <c r="A15" s="98">
        <v>3014</v>
      </c>
      <c r="B15" s="16" t="s">
        <v>160</v>
      </c>
      <c r="C15" s="10" t="s">
        <v>145</v>
      </c>
      <c r="D15" s="72">
        <v>55378</v>
      </c>
      <c r="E15" s="18">
        <v>45255</v>
      </c>
      <c r="F15" s="18">
        <v>36489</v>
      </c>
      <c r="G15" s="95">
        <f t="shared" si="0"/>
        <v>29</v>
      </c>
      <c r="H15" s="95">
        <f t="shared" si="1"/>
        <v>2023</v>
      </c>
      <c r="I15" s="53">
        <f t="shared" si="2"/>
        <v>1863</v>
      </c>
      <c r="J15" s="7"/>
      <c r="K15" s="7"/>
      <c r="L15" s="7"/>
      <c r="M15" s="7"/>
      <c r="N15" s="7"/>
      <c r="O15" s="7"/>
      <c r="P15" s="7"/>
      <c r="Q15" s="7"/>
      <c r="R15" s="7"/>
      <c r="S15" s="7"/>
      <c r="T15" s="7"/>
      <c r="U15" s="7"/>
      <c r="V15" s="7"/>
      <c r="W15" s="7"/>
      <c r="X15" s="7"/>
      <c r="Y15" s="7"/>
    </row>
    <row r="16" spans="1:25" ht="19.5" customHeight="1" x14ac:dyDescent="0.35">
      <c r="A16" s="99">
        <v>3015</v>
      </c>
      <c r="B16" s="11" t="s">
        <v>161</v>
      </c>
      <c r="C16" s="9" t="s">
        <v>145</v>
      </c>
      <c r="D16" s="69">
        <v>63297</v>
      </c>
      <c r="E16" s="13">
        <v>45505</v>
      </c>
      <c r="F16" s="13">
        <v>36739</v>
      </c>
      <c r="G16" s="94">
        <f t="shared" si="0"/>
        <v>28</v>
      </c>
      <c r="H16" s="94">
        <f t="shared" si="1"/>
        <v>2024</v>
      </c>
      <c r="I16" s="53">
        <f t="shared" si="2"/>
        <v>1613</v>
      </c>
      <c r="J16" s="7"/>
      <c r="K16" s="7"/>
      <c r="L16" s="7"/>
      <c r="M16" s="7"/>
      <c r="N16" s="7"/>
      <c r="O16" s="7"/>
      <c r="P16" s="7"/>
      <c r="Q16" s="7"/>
      <c r="R16" s="7"/>
      <c r="S16" s="7"/>
      <c r="T16" s="7"/>
      <c r="U16" s="7"/>
      <c r="V16" s="7"/>
      <c r="W16" s="7"/>
      <c r="X16" s="7"/>
      <c r="Y16" s="7"/>
    </row>
    <row r="17" spans="1:25" ht="19.5" customHeight="1" x14ac:dyDescent="0.35">
      <c r="A17" s="98">
        <v>3016</v>
      </c>
      <c r="B17" s="16" t="s">
        <v>162</v>
      </c>
      <c r="C17" s="10" t="s">
        <v>140</v>
      </c>
      <c r="D17" s="72">
        <v>114173</v>
      </c>
      <c r="E17" s="18">
        <v>45755</v>
      </c>
      <c r="F17" s="18">
        <v>36989</v>
      </c>
      <c r="G17" s="95">
        <f t="shared" si="0"/>
        <v>27</v>
      </c>
      <c r="H17" s="95">
        <f t="shared" si="1"/>
        <v>2025</v>
      </c>
      <c r="I17" s="53">
        <f t="shared" si="2"/>
        <v>1363</v>
      </c>
      <c r="J17" s="7"/>
      <c r="K17" s="7"/>
      <c r="L17" s="7"/>
      <c r="M17" s="7"/>
      <c r="N17" s="7"/>
      <c r="O17" s="7"/>
      <c r="P17" s="7"/>
      <c r="Q17" s="7"/>
      <c r="R17" s="7"/>
      <c r="S17" s="7"/>
      <c r="T17" s="7"/>
      <c r="U17" s="7"/>
      <c r="V17" s="7"/>
      <c r="W17" s="7"/>
      <c r="X17" s="7"/>
      <c r="Y17" s="7"/>
    </row>
    <row r="18" spans="1:25" ht="19.5" customHeight="1" x14ac:dyDescent="0.35">
      <c r="A18" s="99">
        <v>3017</v>
      </c>
      <c r="B18" s="11" t="s">
        <v>163</v>
      </c>
      <c r="C18" s="9" t="s">
        <v>145</v>
      </c>
      <c r="D18" s="69">
        <v>86915</v>
      </c>
      <c r="E18" s="13">
        <v>46005</v>
      </c>
      <c r="F18" s="13">
        <v>37239</v>
      </c>
      <c r="G18" s="94">
        <f t="shared" si="0"/>
        <v>27</v>
      </c>
      <c r="H18" s="94">
        <f t="shared" si="1"/>
        <v>2025</v>
      </c>
      <c r="I18" s="53">
        <f t="shared" si="2"/>
        <v>1113</v>
      </c>
      <c r="J18" s="7"/>
      <c r="K18" s="7"/>
      <c r="L18" s="7"/>
      <c r="M18" s="7"/>
      <c r="N18" s="7"/>
      <c r="O18" s="7"/>
      <c r="P18" s="7"/>
      <c r="Q18" s="7"/>
      <c r="R18" s="7"/>
      <c r="S18" s="7"/>
      <c r="T18" s="7"/>
      <c r="U18" s="7"/>
      <c r="V18" s="7"/>
      <c r="W18" s="7"/>
      <c r="X18" s="7"/>
      <c r="Y18" s="7"/>
    </row>
    <row r="19" spans="1:25" ht="19.5" customHeight="1" x14ac:dyDescent="0.35">
      <c r="A19" s="98">
        <v>3018</v>
      </c>
      <c r="B19" s="16" t="s">
        <v>164</v>
      </c>
      <c r="C19" s="10" t="s">
        <v>150</v>
      </c>
      <c r="D19" s="72">
        <v>116284</v>
      </c>
      <c r="E19" s="18">
        <v>46255</v>
      </c>
      <c r="F19" s="18">
        <v>37489</v>
      </c>
      <c r="G19" s="95">
        <f t="shared" si="0"/>
        <v>26</v>
      </c>
      <c r="H19" s="95">
        <f t="shared" si="1"/>
        <v>2026</v>
      </c>
      <c r="I19" s="53">
        <f t="shared" si="2"/>
        <v>863</v>
      </c>
      <c r="J19" s="7"/>
      <c r="K19" s="7"/>
      <c r="L19" s="7"/>
      <c r="M19" s="7"/>
      <c r="N19" s="7"/>
      <c r="O19" s="7"/>
      <c r="P19" s="7"/>
      <c r="Q19" s="7"/>
      <c r="R19" s="7"/>
      <c r="S19" s="7"/>
      <c r="T19" s="7"/>
      <c r="U19" s="7"/>
      <c r="V19" s="7"/>
      <c r="W19" s="7"/>
      <c r="X19" s="7"/>
      <c r="Y19" s="7"/>
    </row>
    <row r="20" spans="1:25" ht="19.5" customHeight="1" x14ac:dyDescent="0.35">
      <c r="A20" s="99">
        <v>3019</v>
      </c>
      <c r="B20" s="11" t="s">
        <v>165</v>
      </c>
      <c r="C20" s="9" t="s">
        <v>153</v>
      </c>
      <c r="D20" s="69">
        <v>116283</v>
      </c>
      <c r="E20" s="13">
        <v>46505</v>
      </c>
      <c r="F20" s="13">
        <v>37739</v>
      </c>
      <c r="G20" s="94">
        <f t="shared" si="0"/>
        <v>25</v>
      </c>
      <c r="H20" s="94">
        <f t="shared" si="1"/>
        <v>2027</v>
      </c>
      <c r="I20" s="53">
        <f t="shared" si="2"/>
        <v>613</v>
      </c>
      <c r="J20" s="7"/>
      <c r="K20" s="7"/>
      <c r="L20" s="7"/>
      <c r="M20" s="7"/>
      <c r="N20" s="7"/>
      <c r="O20" s="7"/>
      <c r="P20" s="7"/>
      <c r="Q20" s="7"/>
      <c r="R20" s="7"/>
      <c r="S20" s="7"/>
      <c r="T20" s="7"/>
      <c r="U20" s="7"/>
      <c r="V20" s="7"/>
      <c r="W20" s="7"/>
      <c r="X20" s="7"/>
      <c r="Y20" s="7"/>
    </row>
    <row r="21" spans="1:25" ht="19.5" customHeight="1" thickBot="1" x14ac:dyDescent="0.4">
      <c r="A21" s="100">
        <v>3020</v>
      </c>
      <c r="B21" s="44" t="s">
        <v>166</v>
      </c>
      <c r="C21" s="49" t="s">
        <v>153</v>
      </c>
      <c r="D21" s="85">
        <v>99924</v>
      </c>
      <c r="E21" s="46">
        <v>46755</v>
      </c>
      <c r="F21" s="46">
        <v>37989</v>
      </c>
      <c r="G21" s="101">
        <f t="shared" si="0"/>
        <v>24</v>
      </c>
      <c r="H21" s="101">
        <f t="shared" si="1"/>
        <v>2028</v>
      </c>
      <c r="I21" s="58">
        <f t="shared" si="2"/>
        <v>363</v>
      </c>
      <c r="J21" s="7"/>
      <c r="K21" s="7"/>
      <c r="L21" s="7"/>
      <c r="M21" s="7"/>
      <c r="N21" s="7"/>
      <c r="O21" s="7"/>
      <c r="P21" s="7"/>
      <c r="Q21" s="7"/>
      <c r="R21" s="7"/>
      <c r="S21" s="7"/>
      <c r="T21" s="7"/>
      <c r="U21" s="7"/>
      <c r="V21" s="7"/>
      <c r="W21" s="7"/>
      <c r="X21" s="7"/>
      <c r="Y21" s="7"/>
    </row>
    <row r="22" spans="1:25"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PRIYAL PATEL</dc:creator>
  <cp:lastModifiedBy>PRIYAL PATEL</cp:lastModifiedBy>
  <dcterms:created xsi:type="dcterms:W3CDTF">2026-10-26T08:43:39Z</dcterms:created>
  <dcterms:modified xsi:type="dcterms:W3CDTF">2026-10-26T09:08:27Z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2026-10-26T08:20:36Z</dcterms:created>
  <dc:creator>openpyxl</dc:creator>
  <dc:description/>
  <dc:language>en-US</dc:language>
  <cp:lastModifiedBy/>
  <dcterms:modified xsi:type="dcterms:W3CDTF">2026-10-26T08:20:37Z</dcterms:modified>
  <cp:revision>0</cp:revision>
  <dc:subject/>
  <dc:title/>
</cp:coreProperties>
</file>